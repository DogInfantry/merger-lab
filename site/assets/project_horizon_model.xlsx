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PPA" sheetId="3" state="visible" r:id="rId3"/>
    <sheet xmlns:r="http://schemas.openxmlformats.org/officeDocument/2006/relationships" name="Pro-Forma P&amp;L" sheetId="4" state="visible" r:id="rId4"/>
    <sheet xmlns:r="http://schemas.openxmlformats.org/officeDocument/2006/relationships" name="Accretion-Dilution" sheetId="5" state="visible" r:id="rId5"/>
    <sheet xmlns:r="http://schemas.openxmlformats.org/officeDocument/2006/relationships" name="Regulatory" sheetId="6" state="visible" r:id="rId6"/>
    <sheet xmlns:r="http://schemas.openxmlformats.org/officeDocument/2006/relationships" name="Contribution" sheetId="7" state="visible" r:id="rId7"/>
    <sheet xmlns:r="http://schemas.openxmlformats.org/officeDocument/2006/relationships" name="Value Bridge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Precedent Com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[&gt;=100000]&quot;₹ &quot;##\,##\,##0&quot; Cr&quot;;[&lt;=-100000]&quot;₹ -&quot;##\,##\,##0&quot; Cr&quot;;&quot;₹ &quot;#,##0.0&quot; Cr&quot;"/>
    <numFmt numFmtId="165" formatCode="0.0%"/>
    <numFmt numFmtId="166" formatCode="+0.0%;-0.0%"/>
    <numFmt numFmtId="167" formatCode="0.000000"/>
    <numFmt numFmtId="168" formatCode="0.00&quot;x&quot;"/>
    <numFmt numFmtId="169" formatCode="+0.00;-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CC"/>
    </font>
    <font>
      <b val="1"/>
    </font>
  </fonts>
  <fills count="3">
    <fill>
      <patternFill/>
    </fill>
    <fill>
      <patternFill patternType="gray125"/>
    </fill>
    <fill>
      <patternFill patternType="solid">
        <fgColor rgb="00070B1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4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4" fontId="0" fillId="0" borderId="0" pivotButton="0" quotePrefix="0" xfId="0"/>
    <xf numFmtId="0" fontId="3" fillId="0" borderId="0" pivotButton="0" quotePrefix="0" xfId="0"/>
    <xf numFmtId="167" fontId="0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ACQUIRER — Infosys Limited</t>
        </is>
      </c>
      <c r="B1" s="2" t="n"/>
    </row>
    <row r="2">
      <c r="A2" t="inlineStr">
        <is>
          <t>Share price (₹)</t>
        </is>
      </c>
      <c r="B2" s="3" t="n">
        <v>1047.2</v>
      </c>
    </row>
    <row r="3">
      <c r="A3" t="inlineStr">
        <is>
          <t>Shares outstanding (Cr)</t>
        </is>
      </c>
      <c r="B3" s="3" t="n">
        <v>404.8927919</v>
      </c>
    </row>
    <row r="4">
      <c r="A4" t="inlineStr">
        <is>
          <t>Net income TTM (₹ Cr)</t>
        </is>
      </c>
      <c r="B4" s="4" t="n">
        <v>30569.40578845</v>
      </c>
    </row>
    <row r="5">
      <c r="A5" t="inlineStr">
        <is>
          <t>Revenue TTM (₹ Cr)</t>
        </is>
      </c>
      <c r="B5" s="4" t="n">
        <v>186000.0200414696</v>
      </c>
    </row>
    <row r="6">
      <c r="A6" t="inlineStr">
        <is>
          <t>EBITDA TTM (₹ Cr)</t>
        </is>
      </c>
      <c r="B6" s="4" t="n">
        <v>40857.63334497828</v>
      </c>
    </row>
    <row r="7">
      <c r="A7" t="inlineStr">
        <is>
          <t>Total debt (₹ Cr)</t>
        </is>
      </c>
      <c r="B7" s="4" t="n">
        <v>8922.612728185441</v>
      </c>
    </row>
    <row r="8">
      <c r="A8" t="inlineStr">
        <is>
          <t>Cash (₹ Cr)</t>
        </is>
      </c>
      <c r="B8" s="4" t="n">
        <v>34195.6583542511</v>
      </c>
    </row>
    <row r="9">
      <c r="A9" t="inlineStr">
        <is>
          <t>Book value (₹ Cr)</t>
        </is>
      </c>
      <c r="B9" s="4" t="n">
        <v>8554566.503720764</v>
      </c>
    </row>
    <row r="10">
      <c r="A10" s="1" t="inlineStr">
        <is>
          <t>TARGET — Persistent Systems Limited</t>
        </is>
      </c>
      <c r="B10" s="2" t="n"/>
    </row>
    <row r="11">
      <c r="A11" t="inlineStr">
        <is>
          <t>Undisturbed price (₹)</t>
        </is>
      </c>
      <c r="B11" s="3" t="n">
        <v>4682.7</v>
      </c>
    </row>
    <row r="12">
      <c r="A12" t="inlineStr">
        <is>
          <t>Diluted shares (Cr)</t>
        </is>
      </c>
      <c r="B12" s="3" t="n">
        <v>15.6231044</v>
      </c>
    </row>
    <row r="13">
      <c r="A13" t="inlineStr">
        <is>
          <t>Net income TTM (₹ Cr)</t>
        </is>
      </c>
      <c r="B13" s="4" t="n">
        <v>1865.1199488</v>
      </c>
    </row>
    <row r="14">
      <c r="A14" t="inlineStr">
        <is>
          <t>Revenue TTM (₹ Cr)</t>
        </is>
      </c>
      <c r="B14" s="4" t="n">
        <v>14748.4491776</v>
      </c>
    </row>
    <row r="15">
      <c r="A15" t="inlineStr">
        <is>
          <t>EBITDA TTM (₹ Cr)</t>
        </is>
      </c>
      <c r="B15" s="4" t="n">
        <v>2616.0529408</v>
      </c>
    </row>
    <row r="16">
      <c r="A16" t="inlineStr">
        <is>
          <t>Total debt (₹ Cr)</t>
        </is>
      </c>
      <c r="B16" s="4" t="n">
        <v>477.4479872</v>
      </c>
    </row>
    <row r="17">
      <c r="A17" t="inlineStr">
        <is>
          <t>Book value (₹ Cr)</t>
        </is>
      </c>
      <c r="B17" s="4" t="n">
        <v>7827.0346964604</v>
      </c>
    </row>
    <row r="18">
      <c r="A18" s="1" t="inlineStr">
        <is>
          <t>DEAL TERMS</t>
        </is>
      </c>
      <c r="B18" s="2" t="n"/>
    </row>
    <row r="19">
      <c r="A19" t="inlineStr">
        <is>
          <t>Offer price (₹)</t>
        </is>
      </c>
      <c r="B19" s="3" t="n">
        <v>5525.59</v>
      </c>
    </row>
    <row r="20">
      <c r="A20" t="inlineStr">
        <is>
          <t>Negotiated stake %</t>
        </is>
      </c>
      <c r="B20" s="5" t="n">
        <v>1</v>
      </c>
    </row>
    <row r="21">
      <c r="A21" t="inlineStr">
        <is>
          <t>% cash consideration</t>
        </is>
      </c>
      <c r="B21" s="5" t="n">
        <v>0.4</v>
      </c>
    </row>
    <row r="22">
      <c r="A22" t="inlineStr">
        <is>
          <t>% stock consideration</t>
        </is>
      </c>
      <c r="B22" s="5" t="n">
        <v>0.6</v>
      </c>
    </row>
    <row r="23">
      <c r="A23" t="inlineStr">
        <is>
          <t>% of cash needs from new debt</t>
        </is>
      </c>
      <c r="B23" s="5" t="n">
        <v>0.5</v>
      </c>
    </row>
    <row r="24">
      <c r="A24" t="inlineStr">
        <is>
          <t>New debt interest rate</t>
        </is>
      </c>
      <c r="B24" s="6" t="n">
        <v>0.08500000000000001</v>
      </c>
    </row>
    <row r="25">
      <c r="A25" t="inlineStr">
        <is>
          <t>Cash yield foregone</t>
        </is>
      </c>
      <c r="B25" s="6" t="n">
        <v>0.06</v>
      </c>
    </row>
    <row r="26">
      <c r="A26" t="inlineStr">
        <is>
          <t>Run-rate synergies (₹ Cr)</t>
        </is>
      </c>
      <c r="B26" s="4" t="n">
        <v>400</v>
      </c>
    </row>
    <row r="27">
      <c r="A27" t="inlineStr">
        <is>
          <t>Synergy phase-in Y1</t>
        </is>
      </c>
      <c r="B27" s="7" t="n">
        <v>0.5</v>
      </c>
    </row>
    <row r="28">
      <c r="A28" t="inlineStr">
        <is>
          <t>Synergy phase-in Y2</t>
        </is>
      </c>
      <c r="B28" s="7" t="n">
        <v>0.75</v>
      </c>
    </row>
    <row r="29">
      <c r="A29" t="inlineStr">
        <is>
          <t>Synergy phase-in Y3</t>
        </is>
      </c>
      <c r="B29" s="7" t="n">
        <v>1</v>
      </c>
    </row>
    <row r="30">
      <c r="A30" t="inlineStr">
        <is>
          <t>Integration costs Y1 (₹ Cr)</t>
        </is>
      </c>
      <c r="B30" s="4" t="n">
        <v>200</v>
      </c>
    </row>
    <row r="31">
      <c r="A31" t="inlineStr">
        <is>
          <t>Intangible write-up % of excess</t>
        </is>
      </c>
      <c r="B31" s="5" t="n">
        <v>0.35</v>
      </c>
    </row>
    <row r="32">
      <c r="A32" t="inlineStr">
        <is>
          <t>Intangible life (years)</t>
        </is>
      </c>
      <c r="B32" s="8" t="n">
        <v>8</v>
      </c>
    </row>
    <row r="33">
      <c r="A33" t="inlineStr">
        <is>
          <t>Tax rate</t>
        </is>
      </c>
      <c r="B33" s="6" t="n">
        <v>0.2517</v>
      </c>
    </row>
    <row r="34">
      <c r="A34" t="inlineStr">
        <is>
          <t>Transaction fees %</t>
        </is>
      </c>
      <c r="B34" s="6" t="n">
        <v>0.015</v>
      </c>
    </row>
    <row r="35">
      <c r="A35" t="inlineStr">
        <is>
          <t>WACC</t>
        </is>
      </c>
      <c r="B35" s="6" t="n">
        <v>0.12</v>
      </c>
    </row>
    <row r="36">
      <c r="A36" t="inlineStr">
        <is>
          <t>Open-offer acceptance assumption</t>
        </is>
      </c>
      <c r="B36" s="7" t="n">
        <v>1</v>
      </c>
    </row>
    <row r="37">
      <c r="A37" s="1" t="inlineStr">
        <is>
          <t>CONVENTION</t>
        </is>
      </c>
      <c r="B37" s="2" t="n"/>
    </row>
    <row r="38">
      <c r="A38" t="inlineStr">
        <is>
          <t>Blue font = hardcoded input. All other tabs are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₹ Cr</t>
        </is>
      </c>
      <c r="B1" s="1" t="inlineStr">
        <is>
          <t>0% acceptance</t>
        </is>
      </c>
      <c r="C1" s="1" t="inlineStr">
        <is>
          <t>50% acceptance</t>
        </is>
      </c>
      <c r="D1" s="1" t="inlineStr">
        <is>
          <t>100% acceptance</t>
        </is>
      </c>
    </row>
    <row r="2">
      <c r="A2" t="inlineStr">
        <is>
          <t>Equity purchase (negotiated)</t>
        </is>
      </c>
      <c r="B2" s="9">
        <f>Assumptions!$B$19*Assumptions!$B$12*Assumptions!$B$20</f>
        <v/>
      </c>
      <c r="C2" s="9">
        <f>Assumptions!$B$19*Assumptions!$B$12*Assumptions!$B$20</f>
        <v/>
      </c>
      <c r="D2" s="9">
        <f>Assumptions!$B$19*Assumptions!$B$12*Assumptions!$B$20</f>
        <v/>
      </c>
    </row>
    <row r="3">
      <c r="A3" t="inlineStr">
        <is>
          <t>Open offer consideration</t>
        </is>
      </c>
      <c r="B3" s="9">
        <f>26%*Assumptions!$B$12*Assumptions!$B$19*0.0</f>
        <v/>
      </c>
      <c r="C3" s="9">
        <f>26%*Assumptions!$B$12*Assumptions!$B$19*0.5</f>
        <v/>
      </c>
      <c r="D3" s="9">
        <f>26%*Assumptions!$B$12*Assumptions!$B$19*1.0</f>
        <v/>
      </c>
    </row>
    <row r="4">
      <c r="A4" t="inlineStr">
        <is>
          <t>Refinance target debt</t>
        </is>
      </c>
      <c r="B4" s="9">
        <f>Assumptions!$B$16*0</f>
        <v/>
      </c>
      <c r="C4" s="9">
        <f>Assumptions!$B$16*0</f>
        <v/>
      </c>
      <c r="D4" s="9">
        <f>Assumptions!$B$16*0</f>
        <v/>
      </c>
    </row>
    <row r="5">
      <c r="A5" t="inlineStr">
        <is>
          <t>Transaction fees</t>
        </is>
      </c>
      <c r="B5" s="9">
        <f>Assumptions!$B$34*(B2+B3)</f>
        <v/>
      </c>
      <c r="C5" s="9">
        <f>Assumptions!$B$34*(C2+C3)</f>
        <v/>
      </c>
      <c r="D5" s="9">
        <f>Assumptions!$B$34*(D2+D3)</f>
        <v/>
      </c>
    </row>
    <row r="6">
      <c r="A6" s="10" t="inlineStr">
        <is>
          <t>TOTAL USES</t>
        </is>
      </c>
      <c r="B6" s="11">
        <f>SUM(B2:B5)</f>
        <v/>
      </c>
      <c r="C6" s="11">
        <f>SUM(C2:C5)</f>
        <v/>
      </c>
      <c r="D6" s="11">
        <f>SUM(D2:D5)</f>
        <v/>
      </c>
    </row>
    <row r="7">
      <c r="A7" t="inlineStr">
        <is>
          <t>New acquirer stock</t>
        </is>
      </c>
      <c r="B7" s="9">
        <f>Assumptions!$B$22*B2</f>
        <v/>
      </c>
      <c r="C7" s="9">
        <f>Assumptions!$B$22*C2</f>
        <v/>
      </c>
      <c r="D7" s="9">
        <f>Assumptions!$B$22*D2</f>
        <v/>
      </c>
    </row>
    <row r="8">
      <c r="A8" t="inlineStr">
        <is>
          <t>New bank debt</t>
        </is>
      </c>
      <c r="B8" s="9">
        <f>Assumptions!$B$23*(Assumptions!$B$21*B2+B3+B4+B5)</f>
        <v/>
      </c>
      <c r="C8" s="9">
        <f>Assumptions!$B$23*(Assumptions!$B$21*C2+C3+C4+C5)</f>
        <v/>
      </c>
      <c r="D8" s="9">
        <f>Assumptions!$B$23*(Assumptions!$B$21*D2+D3+D4+D5)</f>
        <v/>
      </c>
    </row>
    <row r="9">
      <c r="A9" t="inlineStr">
        <is>
          <t>Balance-sheet cash</t>
        </is>
      </c>
      <c r="B9" s="9">
        <f>(Assumptions!$B$21*B2+B3+B4+B5)-B8</f>
        <v/>
      </c>
      <c r="C9" s="9">
        <f>(Assumptions!$B$21*C2+C3+C4+C5)-C8</f>
        <v/>
      </c>
      <c r="D9" s="9">
        <f>(Assumptions!$B$21*D2+D3+D4+D5)-D8</f>
        <v/>
      </c>
    </row>
    <row r="10">
      <c r="A10" s="10" t="inlineStr">
        <is>
          <t>TOTAL SOURCES</t>
        </is>
      </c>
      <c r="B10" s="11">
        <f>SUM(B7:B9)</f>
        <v/>
      </c>
      <c r="C10" s="11">
        <f>SUM(C7:C9)</f>
        <v/>
      </c>
      <c r="D10" s="11">
        <f>SUM(D7:D9)</f>
        <v/>
      </c>
    </row>
    <row r="11">
      <c r="A11" t="inlineStr">
        <is>
          <t>Balance check (must be 0)</t>
        </is>
      </c>
      <c r="B11" s="9">
        <f>B10-B6</f>
        <v/>
      </c>
      <c r="C11" s="9">
        <f>C10-C6</f>
        <v/>
      </c>
      <c r="D11" s="9">
        <f>D10-D6</f>
        <v/>
      </c>
    </row>
    <row r="12">
      <c r="A12" t="inlineStr">
        <is>
          <t>New shares issued (Cr)</t>
        </is>
      </c>
      <c r="B12" s="12">
        <f>B7/Assumptions!$B$2</f>
        <v/>
      </c>
      <c r="C12" s="12">
        <f>C7/Assumptions!$B$2</f>
        <v/>
      </c>
      <c r="D12" s="12">
        <f>D7/Assumptions!$B$2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₹ Cr</t>
        </is>
      </c>
    </row>
    <row r="2">
      <c r="A2" t="inlineStr">
        <is>
          <t>Equity invested (negotiated + open offer)</t>
        </is>
      </c>
      <c r="B2" s="9">
        <f>'Sources &amp; Uses'!D2+'Sources &amp; Uses'!D3</f>
        <v/>
      </c>
    </row>
    <row r="3">
      <c r="A3" t="inlineStr">
        <is>
          <t>Owned share of target book value</t>
        </is>
      </c>
      <c r="B3" s="9">
        <f>(Assumptions!$B$20+26%*Assumptions!$B$36)*Assumptions!$B$17</f>
        <v/>
      </c>
    </row>
    <row r="4">
      <c r="A4" t="inlineStr">
        <is>
          <t>Excess over book</t>
        </is>
      </c>
      <c r="B4" s="9">
        <f>B2-B3</f>
        <v/>
      </c>
    </row>
    <row r="5">
      <c r="A5" t="inlineStr">
        <is>
          <t>Intangible write-up</t>
        </is>
      </c>
      <c r="B5" s="9">
        <f>MAX(0,Assumptions!$B$31*B4)</f>
        <v/>
      </c>
    </row>
    <row r="6">
      <c r="A6" t="inlineStr">
        <is>
          <t>Deferred tax liability</t>
        </is>
      </c>
      <c r="B6" s="9">
        <f>Assumptions!$B$33*B5</f>
        <v/>
      </c>
    </row>
    <row r="7">
      <c r="A7" t="inlineStr">
        <is>
          <t>Goodwill</t>
        </is>
      </c>
      <c r="B7" s="9">
        <f>B4-B5+B6</f>
        <v/>
      </c>
    </row>
    <row r="8">
      <c r="A8" t="inlineStr">
        <is>
          <t>Incremental D&amp;A per year</t>
        </is>
      </c>
      <c r="B8" s="9">
        <f>B5/Assumptions!$B$32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₹ Cr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t="inlineStr">
        <is>
          <t>Acquirer net income</t>
        </is>
      </c>
      <c r="B2" s="9">
        <f>Assumptions!$B$4</f>
        <v/>
      </c>
      <c r="C2" s="9">
        <f>Assumptions!$B$4</f>
        <v/>
      </c>
      <c r="D2" s="9">
        <f>Assumptions!$B$4</f>
        <v/>
      </c>
    </row>
    <row r="3">
      <c r="A3" t="inlineStr">
        <is>
          <t>Owned target net income</t>
        </is>
      </c>
      <c r="B3" s="9">
        <f>(Assumptions!$B$20+26%*Assumptions!$B$36)*Assumptions!$B$13</f>
        <v/>
      </c>
      <c r="C3" s="9">
        <f>(Assumptions!$B$20+26%*Assumptions!$B$36)*Assumptions!$B$13</f>
        <v/>
      </c>
      <c r="D3" s="9">
        <f>(Assumptions!$B$20+26%*Assumptions!$B$36)*Assumptions!$B$13</f>
        <v/>
      </c>
    </row>
    <row r="4">
      <c r="A4" t="inlineStr">
        <is>
          <t>Synergies (phased, after-tax)</t>
        </is>
      </c>
      <c r="B4" s="9">
        <f>Assumptions!$B$26*Assumptions!$B$27*(1-Assumptions!$B$33)</f>
        <v/>
      </c>
      <c r="C4" s="9">
        <f>Assumptions!$B$26*Assumptions!$B$28*(1-Assumptions!$B$33)</f>
        <v/>
      </c>
      <c r="D4" s="9">
        <f>Assumptions!$B$26*Assumptions!$B$29*(1-Assumptions!$B$33)</f>
        <v/>
      </c>
    </row>
    <row r="5">
      <c r="A5" t="inlineStr">
        <is>
          <t>New interest expense (after-tax)</t>
        </is>
      </c>
      <c r="B5" s="9">
        <f>-'Sources &amp; Uses'!D8*Assumptions!$B$24*(1-Assumptions!$B$33)</f>
        <v/>
      </c>
      <c r="C5" s="9">
        <f>-'Sources &amp; Uses'!D8*Assumptions!$B$24*(1-Assumptions!$B$33)</f>
        <v/>
      </c>
      <c r="D5" s="9">
        <f>-'Sources &amp; Uses'!D8*Assumptions!$B$24*(1-Assumptions!$B$33)</f>
        <v/>
      </c>
    </row>
    <row r="6">
      <c r="A6" t="inlineStr">
        <is>
          <t>Foregone cash yield (after-tax)</t>
        </is>
      </c>
      <c r="B6" s="9">
        <f>-'Sources &amp; Uses'!D9*Assumptions!$B$25*(1-Assumptions!$B$33)</f>
        <v/>
      </c>
      <c r="C6" s="9">
        <f>-'Sources &amp; Uses'!D9*Assumptions!$B$25*(1-Assumptions!$B$33)</f>
        <v/>
      </c>
      <c r="D6" s="9">
        <f>-'Sources &amp; Uses'!D9*Assumptions!$B$25*(1-Assumptions!$B$33)</f>
        <v/>
      </c>
    </row>
    <row r="7">
      <c r="A7" t="inlineStr">
        <is>
          <t>Incremental D&amp;A (after-tax)</t>
        </is>
      </c>
      <c r="B7" s="9">
        <f>-PPA!B8*(1-Assumptions!$B$33)</f>
        <v/>
      </c>
      <c r="C7" s="9">
        <f>-PPA!B8*(1-Assumptions!$B$33)</f>
        <v/>
      </c>
      <c r="D7" s="9">
        <f>-PPA!B8*(1-Assumptions!$B$33)</f>
        <v/>
      </c>
    </row>
    <row r="8">
      <c r="A8" t="inlineStr">
        <is>
          <t>Integration costs (after-tax, Y1)</t>
        </is>
      </c>
      <c r="B8" s="9">
        <f>-Assumptions!$B$30*(1-Assumptions!$B$33)</f>
        <v/>
      </c>
      <c r="C8" s="9">
        <f>0</f>
        <v/>
      </c>
      <c r="D8" s="9">
        <f>0</f>
        <v/>
      </c>
    </row>
    <row r="9">
      <c r="A9" s="13" t="inlineStr">
        <is>
          <t>COMBINED NET INCOME</t>
        </is>
      </c>
      <c r="B9" s="11">
        <f>SUM(B2:B8)</f>
        <v/>
      </c>
      <c r="C9" s="11">
        <f>SUM(C2:C8)</f>
        <v/>
      </c>
      <c r="D9" s="11">
        <f>SUM(D2:D8)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3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/>
      <c r="F1" s="1" t="inlineStr">
        <is>
          <t>Δ vs engine (Y1)</t>
        </is>
      </c>
    </row>
    <row r="2">
      <c r="A2" t="inlineStr">
        <is>
          <t>Pro-forma shares (Cr)</t>
        </is>
      </c>
      <c r="B2" s="12">
        <f>Assumptions!$B$3+'Sources &amp; Uses'!D12</f>
        <v/>
      </c>
      <c r="C2" s="12">
        <f>Assumptions!$B$3+'Sources &amp; Uses'!D12</f>
        <v/>
      </c>
      <c r="D2" s="12">
        <f>Assumptions!$B$3+'Sources &amp; Uses'!D12</f>
        <v/>
      </c>
      <c r="F2" s="14">
        <f>B2-454.35432901321394</f>
        <v/>
      </c>
    </row>
    <row r="3">
      <c r="A3" t="inlineStr">
        <is>
          <t>Pro-forma EPS (₹)</t>
        </is>
      </c>
      <c r="B3" s="12">
        <f>'Pro-Forma P&amp;L'!B9/B2</f>
        <v/>
      </c>
      <c r="C3" s="12">
        <f>'Pro-Forma P&amp;L'!C9/C2</f>
        <v/>
      </c>
      <c r="D3" s="12">
        <f>'Pro-Forma P&amp;L'!D9/D2</f>
        <v/>
      </c>
      <c r="F3" s="14">
        <f>B3-57.11452647891894</f>
        <v/>
      </c>
    </row>
    <row r="4">
      <c r="A4" t="inlineStr">
        <is>
          <t>Standalone acquirer EPS (₹)</t>
        </is>
      </c>
      <c r="B4" s="12">
        <f>Assumptions!$B$4/Assumptions!$B$3</f>
        <v/>
      </c>
      <c r="C4" s="12">
        <f>Assumptions!$B$4/Assumptions!$B$3</f>
        <v/>
      </c>
      <c r="D4" s="12">
        <f>Assumptions!$B$4/Assumptions!$B$3</f>
        <v/>
      </c>
      <c r="F4" s="14">
        <f>B4-75.5</f>
        <v/>
      </c>
    </row>
    <row r="5">
      <c r="A5" s="13" t="inlineStr">
        <is>
          <t>Accretion / (dilution)</t>
        </is>
      </c>
      <c r="B5" s="15">
        <f>B3/B4-1</f>
        <v/>
      </c>
      <c r="C5" s="15">
        <f>C3/C4-1</f>
        <v/>
      </c>
      <c r="D5" s="15">
        <f>D3/D4-1</f>
        <v/>
      </c>
      <c r="F5" s="14">
        <f>B5--0.24351620557723266</f>
        <v/>
      </c>
    </row>
    <row r="7">
      <c r="A7" t="inlineStr">
        <is>
          <t>Break-even synergies Y1 (₹ Cr)</t>
        </is>
      </c>
      <c r="B7" s="9">
        <f>(B4*B2-('Pro-Forma P&amp;L'!B9-Assumptions!$B$26*Assumptions!$B$27*(1-Assumptions!$B$33)))/(Assumptions!$B$27*(1-Assumptions!$B$33))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Status</t>
        </is>
      </c>
    </row>
    <row r="2">
      <c r="A2" t="inlineStr">
        <is>
          <t>RBI: bank debt ≤ 75% of acquisition value</t>
        </is>
      </c>
      <c r="B2" s="16">
        <f>'Sources &amp; Uses'!D8/('Sources &amp; Uses'!D2+'Sources &amp; Uses'!D3)</f>
        <v/>
      </c>
      <c r="C2" t="inlineStr">
        <is>
          <t>≤ 75%</t>
        </is>
      </c>
      <c r="D2">
        <f>IF(B2&lt;=75%,"PASS","FAIL")</f>
        <v/>
      </c>
    </row>
    <row r="3">
      <c r="A3" t="inlineStr">
        <is>
          <t>RBI: equity contribution ≥ 25%</t>
        </is>
      </c>
      <c r="B3" s="16">
        <f>1-'Sources &amp; Uses'!D8/'Sources &amp; Uses'!D10</f>
        <v/>
      </c>
      <c r="C3" t="inlineStr">
        <is>
          <t>≥ 25%</t>
        </is>
      </c>
      <c r="D3">
        <f>IF(B3&gt;=25%,"PASS","FAIL")</f>
        <v/>
      </c>
    </row>
    <row r="4">
      <c r="A4" t="inlineStr">
        <is>
          <t>RBI: pro-forma consolidated D/E ≤ 3.0x</t>
        </is>
      </c>
      <c r="B4" s="17">
        <f>(Assumptions!$B$7+'Sources &amp; Uses'!D8+Assumptions!$B$16*1)/(Assumptions!$B$9+'Sources &amp; Uses'!D7)</f>
        <v/>
      </c>
      <c r="C4" t="inlineStr">
        <is>
          <t>≤ 3.0x</t>
        </is>
      </c>
      <c r="D4">
        <f>IF(B4&lt;=3,"PASS","FAIL")</f>
        <v/>
      </c>
    </row>
    <row r="5">
      <c r="A5" t="inlineStr">
        <is>
          <t>RBI: acquirer net worth ≥ ₹500 Cr</t>
        </is>
      </c>
      <c r="B5" s="9">
        <f>Assumptions!$B$9</f>
        <v/>
      </c>
      <c r="C5" t="inlineStr">
        <is>
          <t>≥ ₹500 Cr</t>
        </is>
      </c>
      <c r="D5">
        <f>IF(B5&gt;=500,"PASS","FAIL")</f>
        <v/>
      </c>
    </row>
    <row r="7">
      <c r="A7" s="13" t="inlineStr">
        <is>
          <t>SEBI SAST</t>
        </is>
      </c>
    </row>
    <row r="8">
      <c r="A8" t="inlineStr">
        <is>
          <t>Acquiring 100% crosses the 25% threshold -&gt; mandatory open offer for 26% of the target at the floor price (modeled at the Rs 5,526 offer price; real floor is the highest-of tests incl. 60-day VWAP).</t>
        </is>
      </c>
    </row>
    <row r="9">
      <c r="A9" t="inlineStr">
        <is>
          <t>0% acceptance: buy 0.00 Cr shares for Rs 0 Cr; post-offer holding 100.0%. BREACHES 75% MPS — must sell down within 12 months or pursue delisting (requires 90%).</t>
        </is>
      </c>
    </row>
    <row r="10">
      <c r="A10" t="inlineStr">
        <is>
          <t>50% acceptance: buy 2.03 Cr shares for Rs 11,222 Cr; post-offer holding 100.0%. BREACHES 75% MPS — must sell down within 12 months or pursue delisting (requires 90%).</t>
        </is>
      </c>
    </row>
    <row r="11">
      <c r="A11" t="inlineStr">
        <is>
          <t>100% acceptance: buy 4.06 Cr shares for Rs 22,445 Cr; post-offer holding 100.0%. BREACHES 75% MPS — must sell down within 12 months or pursue delisting (requires 90%).</t>
        </is>
      </c>
    </row>
    <row r="13">
      <c r="A13" s="13" t="inlineStr">
        <is>
          <t>CCI</t>
        </is>
      </c>
    </row>
    <row r="14">
      <c r="A14" t="inlineStr">
        <is>
          <t>Deal value Rs 86,327 Cr exceeds the Rs 2,000 Cr deal-value threshold (2024 amendment) — CCI approval required; expect ~150-210 days outer timeline, Green Channel possible if no overlaps.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Acquirer %</t>
        </is>
      </c>
      <c r="C1" s="1" t="inlineStr">
        <is>
          <t>Target %</t>
        </is>
      </c>
    </row>
    <row r="2">
      <c r="A2" t="inlineStr">
        <is>
          <t>Revenue</t>
        </is>
      </c>
      <c r="B2" s="16">
        <f>Assumptions!$B$5/(Assumptions!$B$5+Assumptions!$B$14)</f>
        <v/>
      </c>
      <c r="C2" s="16">
        <f>Assumptions!$B$14/(Assumptions!$B$5+Assumptions!$B$14)</f>
        <v/>
      </c>
    </row>
    <row r="3">
      <c r="A3" t="inlineStr">
        <is>
          <t>EBITDA</t>
        </is>
      </c>
      <c r="B3" s="16">
        <f>Assumptions!$B$6/(Assumptions!$B$6+Assumptions!$B$15)</f>
        <v/>
      </c>
      <c r="C3" s="16">
        <f>Assumptions!$B$15/(Assumptions!$B$6+Assumptions!$B$15)</f>
        <v/>
      </c>
    </row>
    <row r="4">
      <c r="A4" t="inlineStr">
        <is>
          <t>Net income</t>
        </is>
      </c>
      <c r="B4" s="16">
        <f>Assumptions!$B$4/(Assumptions!$B$4+Assumptions!$B$13)</f>
        <v/>
      </c>
      <c r="C4" s="16">
        <f>Assumptions!$B$13/(Assumptions!$B$4+Assumptions!$B$13)</f>
        <v/>
      </c>
    </row>
    <row r="5">
      <c r="A5" t="inlineStr">
        <is>
          <t>Pro-forma ownership</t>
        </is>
      </c>
      <c r="B5" s="16">
        <f>1-'Sources &amp; Uses'!D12/(Assumptions!$B$3+'Sources &amp; Uses'!D12)</f>
        <v/>
      </c>
      <c r="C5" s="16">
        <f>'Sources &amp; Uses'!D12/(Assumptions!$B$3+'Sources &amp; Uses'!D12)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₹ Cr</t>
        </is>
      </c>
    </row>
    <row r="2">
      <c r="A2" t="inlineStr">
        <is>
          <t>PV of after-tax synergies (perpetuity at WACC)</t>
        </is>
      </c>
      <c r="B2" s="9">
        <f>Assumptions!$B$26*(1-Assumptions!$B$33)/Assumptions!$B$35</f>
        <v/>
      </c>
    </row>
    <row r="3">
      <c r="A3" t="inlineStr">
        <is>
          <t>Control premium paid</t>
        </is>
      </c>
      <c r="B3" s="9">
        <f>(Assumptions!$B$19-Assumptions!$B$11)*Assumptions!$B$12*(Assumptions!$B$20+26%*Assumptions!$B$36)</f>
        <v/>
      </c>
    </row>
    <row r="4">
      <c r="A4" t="inlineStr">
        <is>
          <t>Net value created / (destroyed)</t>
        </is>
      </c>
      <c r="B4" s="9">
        <f>B2-B3</f>
        <v/>
      </c>
    </row>
    <row r="5">
      <c r="A5" t="inlineStr">
        <is>
          <t>Incremental NOPAT (owned NI + after-tax synergies)</t>
        </is>
      </c>
      <c r="B5" s="9">
        <f>(Assumptions!$B$20+26%*Assumptions!$B$36)*Assumptions!$B$13+Assumptions!$B$26*(1-Assumptions!$B$33)</f>
        <v/>
      </c>
    </row>
    <row r="6">
      <c r="A6" t="inlineStr">
        <is>
          <t>Invested capital (total uses)</t>
        </is>
      </c>
      <c r="B6" s="9">
        <f>'Sources &amp; Uses'!D6</f>
        <v/>
      </c>
    </row>
    <row r="7">
      <c r="A7" t="inlineStr">
        <is>
          <t>Incremental ROIC</t>
        </is>
      </c>
      <c r="B7" s="16">
        <f>B5/B6</f>
        <v/>
      </c>
    </row>
    <row r="8">
      <c r="A8" t="inlineStr">
        <is>
          <t>WACC</t>
        </is>
      </c>
      <c r="B8" s="16">
        <f>Assumptions!$B$35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/>
    </row>
    <row r="2">
      <c r="A2" s="13" t="inlineStr">
        <is>
          <t>Year-1 accretion %: premium (rows) × synergies ₹ Cr (cols) — engine values</t>
        </is>
      </c>
    </row>
    <row r="3">
      <c r="A3" t="inlineStr">
        <is>
          <t>Premium % \ Synergies Cr</t>
        </is>
      </c>
      <c r="B3" s="1" t="n">
        <v>0</v>
      </c>
      <c r="C3" s="1" t="n">
        <v>100</v>
      </c>
      <c r="D3" s="1" t="n">
        <v>200</v>
      </c>
      <c r="E3" s="1" t="n">
        <v>300</v>
      </c>
      <c r="F3" s="1" t="n">
        <v>400</v>
      </c>
      <c r="G3" s="1" t="n">
        <v>500</v>
      </c>
      <c r="H3" s="1" t="n">
        <v>600</v>
      </c>
      <c r="I3" s="1" t="n">
        <v>700</v>
      </c>
      <c r="J3" s="1" t="n">
        <v>800</v>
      </c>
    </row>
    <row r="4">
      <c r="A4" s="13" t="n">
        <v>8</v>
      </c>
      <c r="B4" s="18" t="n">
        <v>-17.1</v>
      </c>
      <c r="C4" s="18" t="n">
        <v>-16.99</v>
      </c>
      <c r="D4" s="18" t="n">
        <v>-16.88</v>
      </c>
      <c r="E4" s="18" t="n">
        <v>-16.77</v>
      </c>
      <c r="F4" s="18" t="n">
        <v>-16.66</v>
      </c>
      <c r="G4" s="18" t="n">
        <v>-16.55</v>
      </c>
      <c r="H4" s="18" t="n">
        <v>-16.44</v>
      </c>
      <c r="I4" s="18" t="n">
        <v>-16.33</v>
      </c>
      <c r="J4" s="18" t="n">
        <v>-16.22</v>
      </c>
    </row>
    <row r="5">
      <c r="A5" s="13" t="n">
        <v>10.5</v>
      </c>
      <c r="B5" s="18" t="n">
        <v>-17.59</v>
      </c>
      <c r="C5" s="18" t="n">
        <v>-17.48</v>
      </c>
      <c r="D5" s="18" t="n">
        <v>-17.37</v>
      </c>
      <c r="E5" s="18" t="n">
        <v>-17.26</v>
      </c>
      <c r="F5" s="18" t="n">
        <v>-17.15</v>
      </c>
      <c r="G5" s="18" t="n">
        <v>-17.04</v>
      </c>
      <c r="H5" s="18" t="n">
        <v>-16.93</v>
      </c>
      <c r="I5" s="18" t="n">
        <v>-16.82</v>
      </c>
      <c r="J5" s="18" t="n">
        <v>-16.71</v>
      </c>
    </row>
    <row r="6">
      <c r="A6" s="13" t="n">
        <v>13</v>
      </c>
      <c r="B6" s="18" t="n">
        <v>-18.08</v>
      </c>
      <c r="C6" s="18" t="n">
        <v>-17.97</v>
      </c>
      <c r="D6" s="18" t="n">
        <v>-17.86</v>
      </c>
      <c r="E6" s="18" t="n">
        <v>-17.75</v>
      </c>
      <c r="F6" s="18" t="n">
        <v>-17.64</v>
      </c>
      <c r="G6" s="18" t="n">
        <v>-17.53</v>
      </c>
      <c r="H6" s="18" t="n">
        <v>-17.42</v>
      </c>
      <c r="I6" s="18" t="n">
        <v>-17.31</v>
      </c>
      <c r="J6" s="18" t="n">
        <v>-17.2</v>
      </c>
    </row>
    <row r="7">
      <c r="A7" s="13" t="n">
        <v>15.5</v>
      </c>
      <c r="B7" s="18" t="n">
        <v>-18.56</v>
      </c>
      <c r="C7" s="18" t="n">
        <v>-18.45</v>
      </c>
      <c r="D7" s="18" t="n">
        <v>-18.34</v>
      </c>
      <c r="E7" s="18" t="n">
        <v>-18.23</v>
      </c>
      <c r="F7" s="18" t="n">
        <v>-18.12</v>
      </c>
      <c r="G7" s="18" t="n">
        <v>-18.01</v>
      </c>
      <c r="H7" s="18" t="n">
        <v>-17.9</v>
      </c>
      <c r="I7" s="18" t="n">
        <v>-17.8</v>
      </c>
      <c r="J7" s="18" t="n">
        <v>-17.69</v>
      </c>
    </row>
    <row r="8">
      <c r="A8" s="13" t="n">
        <v>18</v>
      </c>
      <c r="B8" s="18" t="n">
        <v>-19.04</v>
      </c>
      <c r="C8" s="18" t="n">
        <v>-18.93</v>
      </c>
      <c r="D8" s="18" t="n">
        <v>-18.82</v>
      </c>
      <c r="E8" s="18" t="n">
        <v>-18.72</v>
      </c>
      <c r="F8" s="18" t="n">
        <v>-18.61</v>
      </c>
      <c r="G8" s="18" t="n">
        <v>-18.5</v>
      </c>
      <c r="H8" s="18" t="n">
        <v>-18.39</v>
      </c>
      <c r="I8" s="18" t="n">
        <v>-18.28</v>
      </c>
      <c r="J8" s="18" t="n">
        <v>-18.17</v>
      </c>
    </row>
    <row r="9">
      <c r="A9" s="13" t="n">
        <v>20.5</v>
      </c>
      <c r="B9" s="18" t="n">
        <v>-19.52</v>
      </c>
      <c r="C9" s="18" t="n">
        <v>-19.41</v>
      </c>
      <c r="D9" s="18" t="n">
        <v>-19.31</v>
      </c>
      <c r="E9" s="18" t="n">
        <v>-19.2</v>
      </c>
      <c r="F9" s="18" t="n">
        <v>-19.09</v>
      </c>
      <c r="G9" s="18" t="n">
        <v>-18.98</v>
      </c>
      <c r="H9" s="18" t="n">
        <v>-18.87</v>
      </c>
      <c r="I9" s="18" t="n">
        <v>-18.76</v>
      </c>
      <c r="J9" s="18" t="n">
        <v>-18.65</v>
      </c>
    </row>
    <row r="10">
      <c r="A10" s="13" t="n">
        <v>23</v>
      </c>
      <c r="B10" s="18" t="n">
        <v>-20</v>
      </c>
      <c r="C10" s="18" t="n">
        <v>-19.89</v>
      </c>
      <c r="D10" s="18" t="n">
        <v>-19.78</v>
      </c>
      <c r="E10" s="18" t="n">
        <v>-19.68</v>
      </c>
      <c r="F10" s="18" t="n">
        <v>-19.57</v>
      </c>
      <c r="G10" s="18" t="n">
        <v>-19.46</v>
      </c>
      <c r="H10" s="18" t="n">
        <v>-19.35</v>
      </c>
      <c r="I10" s="18" t="n">
        <v>-19.24</v>
      </c>
      <c r="J10" s="18" t="n">
        <v>-19.13</v>
      </c>
    </row>
    <row r="11">
      <c r="A11" s="13" t="n">
        <v>25.5</v>
      </c>
      <c r="B11" s="18" t="n">
        <v>-20.48</v>
      </c>
      <c r="C11" s="18" t="n">
        <v>-20.37</v>
      </c>
      <c r="D11" s="18" t="n">
        <v>-20.26</v>
      </c>
      <c r="E11" s="18" t="n">
        <v>-20.15</v>
      </c>
      <c r="F11" s="18" t="n">
        <v>-20.04</v>
      </c>
      <c r="G11" s="18" t="n">
        <v>-19.94</v>
      </c>
      <c r="H11" s="18" t="n">
        <v>-19.83</v>
      </c>
      <c r="I11" s="18" t="n">
        <v>-19.72</v>
      </c>
      <c r="J11" s="18" t="n">
        <v>-19.61</v>
      </c>
    </row>
    <row r="12">
      <c r="A12" s="13" t="n">
        <v>28</v>
      </c>
      <c r="B12" s="18" t="n">
        <v>-20.95</v>
      </c>
      <c r="C12" s="18" t="n">
        <v>-20.84</v>
      </c>
      <c r="D12" s="18" t="n">
        <v>-20.73</v>
      </c>
      <c r="E12" s="18" t="n">
        <v>-20.63</v>
      </c>
      <c r="F12" s="18" t="n">
        <v>-20.52</v>
      </c>
      <c r="G12" s="18" t="n">
        <v>-20.41</v>
      </c>
      <c r="H12" s="18" t="n">
        <v>-20.3</v>
      </c>
      <c r="I12" s="18" t="n">
        <v>-20.19</v>
      </c>
      <c r="J12" s="18" t="n">
        <v>-20.09</v>
      </c>
    </row>
    <row r="14">
      <c r="A14" s="13" t="inlineStr">
        <is>
          <t>Year-1 accretion %: % cash (rows) × premium (cols) — engine values</t>
        </is>
      </c>
    </row>
    <row r="15">
      <c r="A15" t="inlineStr">
        <is>
          <t>% Cash \ Premium %</t>
        </is>
      </c>
      <c r="B15" s="1" t="n">
        <v>8</v>
      </c>
      <c r="C15" s="1" t="n">
        <v>10.5</v>
      </c>
      <c r="D15" s="1" t="n">
        <v>13</v>
      </c>
      <c r="E15" s="1" t="n">
        <v>15.5</v>
      </c>
      <c r="F15" s="1" t="n">
        <v>18</v>
      </c>
      <c r="G15" s="1" t="n">
        <v>20.5</v>
      </c>
      <c r="H15" s="1" t="n">
        <v>23</v>
      </c>
      <c r="I15" s="1" t="n">
        <v>25.5</v>
      </c>
      <c r="J15" s="1" t="n">
        <v>28</v>
      </c>
    </row>
    <row r="16">
      <c r="A16" s="13" t="n">
        <v>0</v>
      </c>
      <c r="B16" s="18" t="n">
        <v>-17.17</v>
      </c>
      <c r="C16" s="18" t="n">
        <v>-17.64</v>
      </c>
      <c r="D16" s="18" t="n">
        <v>-18.1</v>
      </c>
      <c r="E16" s="18" t="n">
        <v>-18.56</v>
      </c>
      <c r="F16" s="18" t="n">
        <v>-19.02</v>
      </c>
      <c r="G16" s="18" t="n">
        <v>-19.48</v>
      </c>
      <c r="H16" s="18" t="n">
        <v>-19.93</v>
      </c>
      <c r="I16" s="18" t="n">
        <v>-20.38</v>
      </c>
      <c r="J16" s="18" t="n">
        <v>-20.82</v>
      </c>
    </row>
    <row r="17">
      <c r="A17" s="13" t="n">
        <v>10</v>
      </c>
      <c r="B17" s="18" t="n">
        <v>-17.05</v>
      </c>
      <c r="C17" s="18" t="n">
        <v>-17.52</v>
      </c>
      <c r="D17" s="18" t="n">
        <v>-17.99</v>
      </c>
      <c r="E17" s="18" t="n">
        <v>-18.46</v>
      </c>
      <c r="F17" s="18" t="n">
        <v>-18.92</v>
      </c>
      <c r="G17" s="18" t="n">
        <v>-19.39</v>
      </c>
      <c r="H17" s="18" t="n">
        <v>-19.84</v>
      </c>
      <c r="I17" s="18" t="n">
        <v>-20.3</v>
      </c>
      <c r="J17" s="18" t="n">
        <v>-20.75</v>
      </c>
    </row>
    <row r="18">
      <c r="A18" s="13" t="n">
        <v>20</v>
      </c>
      <c r="B18" s="18" t="n">
        <v>-16.92</v>
      </c>
      <c r="C18" s="18" t="n">
        <v>-17.4</v>
      </c>
      <c r="D18" s="18" t="n">
        <v>-17.88</v>
      </c>
      <c r="E18" s="18" t="n">
        <v>-18.35</v>
      </c>
      <c r="F18" s="18" t="n">
        <v>-18.82</v>
      </c>
      <c r="G18" s="18" t="n">
        <v>-19.29</v>
      </c>
      <c r="H18" s="18" t="n">
        <v>-19.75</v>
      </c>
      <c r="I18" s="18" t="n">
        <v>-20.22</v>
      </c>
      <c r="J18" s="18" t="n">
        <v>-20.68</v>
      </c>
    </row>
    <row r="19">
      <c r="A19" s="13" t="n">
        <v>30</v>
      </c>
      <c r="B19" s="18" t="n">
        <v>-16.79</v>
      </c>
      <c r="C19" s="18" t="n">
        <v>-17.28</v>
      </c>
      <c r="D19" s="18" t="n">
        <v>-17.76</v>
      </c>
      <c r="E19" s="18" t="n">
        <v>-18.24</v>
      </c>
      <c r="F19" s="18" t="n">
        <v>-18.72</v>
      </c>
      <c r="G19" s="18" t="n">
        <v>-19.19</v>
      </c>
      <c r="H19" s="18" t="n">
        <v>-19.66</v>
      </c>
      <c r="I19" s="18" t="n">
        <v>-20.13</v>
      </c>
      <c r="J19" s="18" t="n">
        <v>-20.6</v>
      </c>
    </row>
    <row r="20">
      <c r="A20" s="13" t="n">
        <v>40</v>
      </c>
      <c r="B20" s="18" t="n">
        <v>-16.66</v>
      </c>
      <c r="C20" s="18" t="n">
        <v>-17.15</v>
      </c>
      <c r="D20" s="18" t="n">
        <v>-17.64</v>
      </c>
      <c r="E20" s="18" t="n">
        <v>-18.12</v>
      </c>
      <c r="F20" s="18" t="n">
        <v>-18.61</v>
      </c>
      <c r="G20" s="18" t="n">
        <v>-19.09</v>
      </c>
      <c r="H20" s="18" t="n">
        <v>-19.57</v>
      </c>
      <c r="I20" s="18" t="n">
        <v>-20.04</v>
      </c>
      <c r="J20" s="18" t="n">
        <v>-20.52</v>
      </c>
    </row>
    <row r="21">
      <c r="A21" s="13" t="n">
        <v>50</v>
      </c>
      <c r="B21" s="18" t="n">
        <v>-16.52</v>
      </c>
      <c r="C21" s="18" t="n">
        <v>-17.02</v>
      </c>
      <c r="D21" s="18" t="n">
        <v>-17.51</v>
      </c>
      <c r="E21" s="18" t="n">
        <v>-18</v>
      </c>
      <c r="F21" s="18" t="n">
        <v>-18.49</v>
      </c>
      <c r="G21" s="18" t="n">
        <v>-18.98</v>
      </c>
      <c r="H21" s="18" t="n">
        <v>-19.47</v>
      </c>
      <c r="I21" s="18" t="n">
        <v>-19.95</v>
      </c>
      <c r="J21" s="18" t="n">
        <v>-20.43</v>
      </c>
    </row>
    <row r="22">
      <c r="A22" s="13" t="n">
        <v>60</v>
      </c>
      <c r="B22" s="18" t="n">
        <v>-16.38</v>
      </c>
      <c r="C22" s="18" t="n">
        <v>-16.88</v>
      </c>
      <c r="D22" s="18" t="n">
        <v>-17.38</v>
      </c>
      <c r="E22" s="18" t="n">
        <v>-17.88</v>
      </c>
      <c r="F22" s="18" t="n">
        <v>-18.38</v>
      </c>
      <c r="G22" s="18" t="n">
        <v>-18.87</v>
      </c>
      <c r="H22" s="18" t="n">
        <v>-19.36</v>
      </c>
      <c r="I22" s="18" t="n">
        <v>-19.86</v>
      </c>
      <c r="J22" s="18" t="n">
        <v>-20.35</v>
      </c>
    </row>
    <row r="23">
      <c r="A23" s="13" t="n">
        <v>70</v>
      </c>
      <c r="B23" s="18" t="n">
        <v>-16.23</v>
      </c>
      <c r="C23" s="18" t="n">
        <v>-16.74</v>
      </c>
      <c r="D23" s="18" t="n">
        <v>-17.24</v>
      </c>
      <c r="E23" s="18" t="n">
        <v>-17.75</v>
      </c>
      <c r="F23" s="18" t="n">
        <v>-18.25</v>
      </c>
      <c r="G23" s="18" t="n">
        <v>-18.76</v>
      </c>
      <c r="H23" s="18" t="n">
        <v>-19.26</v>
      </c>
      <c r="I23" s="18" t="n">
        <v>-19.76</v>
      </c>
      <c r="J23" s="18" t="n">
        <v>-20.26</v>
      </c>
    </row>
    <row r="24">
      <c r="A24" s="13" t="n">
        <v>80</v>
      </c>
      <c r="B24" s="18" t="n">
        <v>-16.08</v>
      </c>
      <c r="C24" s="18" t="n">
        <v>-16.59</v>
      </c>
      <c r="D24" s="18" t="n">
        <v>-17.1</v>
      </c>
      <c r="E24" s="18" t="n">
        <v>-17.62</v>
      </c>
      <c r="F24" s="18" t="n">
        <v>-18.13</v>
      </c>
      <c r="G24" s="18" t="n">
        <v>-18.64</v>
      </c>
      <c r="H24" s="18" t="n">
        <v>-19.14</v>
      </c>
      <c r="I24" s="18" t="n">
        <v>-19.65</v>
      </c>
      <c r="J24" s="18" t="n">
        <v>-20.16</v>
      </c>
    </row>
    <row r="25">
      <c r="A25" s="13" t="n">
        <v>90</v>
      </c>
      <c r="B25" s="18" t="n">
        <v>-15.92</v>
      </c>
      <c r="C25" s="18" t="n">
        <v>-16.44</v>
      </c>
      <c r="D25" s="18" t="n">
        <v>-16.96</v>
      </c>
      <c r="E25" s="18" t="n">
        <v>-17.48</v>
      </c>
      <c r="F25" s="18" t="n">
        <v>-17.99</v>
      </c>
      <c r="G25" s="18" t="n">
        <v>-18.51</v>
      </c>
      <c r="H25" s="18" t="n">
        <v>-19.03</v>
      </c>
      <c r="I25" s="18" t="n">
        <v>-19.54</v>
      </c>
      <c r="J25" s="18" t="n">
        <v>-20.06</v>
      </c>
    </row>
    <row r="26">
      <c r="A26" s="13" t="n">
        <v>100</v>
      </c>
      <c r="B26" s="18" t="n">
        <v>-15.75</v>
      </c>
      <c r="C26" s="18" t="n">
        <v>-16.28</v>
      </c>
      <c r="D26" s="18" t="n">
        <v>-16.81</v>
      </c>
      <c r="E26" s="18" t="n">
        <v>-17.33</v>
      </c>
      <c r="F26" s="18" t="n">
        <v>-17.86</v>
      </c>
      <c r="G26" s="18" t="n">
        <v>-18.38</v>
      </c>
      <c r="H26" s="18" t="n">
        <v>-18.91</v>
      </c>
      <c r="I26" s="18" t="n">
        <v>-19.43</v>
      </c>
      <c r="J26" s="18" t="n">
        <v>-19.96</v>
      </c>
    </row>
  </sheetData>
  <conditionalFormatting sqref="B4:J12">
    <cfRule type="colorScale" priority="1">
      <colorScale>
        <cfvo type="min"/>
        <cfvo type="num" val="0"/>
        <cfvo type="max"/>
        <color rgb="00C0392B"/>
        <color rgb="00FFFFFF"/>
        <color rgb="001D7A4A"/>
      </colorScale>
    </cfRule>
  </conditionalFormatting>
  <conditionalFormatting sqref="B16:J26">
    <cfRule type="colorScale" priority="2">
      <colorScale>
        <cfvo type="min"/>
        <cfvo type="num" val="0"/>
        <cfvo type="max"/>
        <color rgb="00C0392B"/>
        <color rgb="00FFFFFF"/>
        <color rgb="001D7A4A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1" customWidth="1" min="8" max="8"/>
    <col width="30" customWidth="1" min="9" max="9"/>
    <col width="45" customWidth="1" min="10" max="10"/>
  </cols>
  <sheetData>
    <row r="1">
      <c r="A1" s="1" t="inlineStr">
        <is>
          <t>announce_date</t>
        </is>
      </c>
      <c r="B1" s="1" t="inlineStr">
        <is>
          <t>acquirer</t>
        </is>
      </c>
      <c r="C1" s="1" t="inlineStr">
        <is>
          <t>target</t>
        </is>
      </c>
      <c r="D1" s="1" t="inlineStr">
        <is>
          <t>deal_value_cr</t>
        </is>
      </c>
      <c r="E1" s="1" t="inlineStr">
        <is>
          <t>consideration_type</t>
        </is>
      </c>
      <c r="F1" s="1" t="inlineStr">
        <is>
          <t>offer_premium_pct</t>
        </is>
      </c>
      <c r="G1" s="1" t="inlineStr">
        <is>
          <t>ev_ebitda_multiple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source_url</t>
        </is>
      </c>
    </row>
    <row r="2">
      <c r="A2" t="inlineStr">
        <is>
          <t>2023-07-17</t>
        </is>
      </c>
      <c r="B2" t="inlineStr">
        <is>
          <t>Proximus Opal</t>
        </is>
      </c>
      <c r="C2" t="inlineStr">
        <is>
          <t>Route Mobile</t>
        </is>
      </c>
      <c r="D2" t="n">
        <v>5922</v>
      </c>
      <c r="E2" t="inlineStr">
        <is>
          <t>cash</t>
        </is>
      </c>
      <c r="F2" t="n">
        <v/>
      </c>
      <c r="H2" t="inlineStr">
        <is>
          <t>completed</t>
        </is>
      </c>
      <c r="I2" t="inlineStr">
        <is>
          <t>VERIFIED — Proximus (via Proximus Opal) acquired 57.56% of Route Mobile at Rs 1626.40/sh for ~Rs 5922 cr; mandatory open offer 26% at same Rs 1626.40; completed May 2024; holding later reached ~82.7%; P/E unverified</t>
        </is>
      </c>
      <c r="J2" t="inlineStr">
        <is>
          <t>https://www.business-standard.com/companies/news/proximus-group-to-acquire-58-stake-in-route-mobile-for-rs-5-922-cr-123071700567_1.html</t>
        </is>
      </c>
    </row>
    <row r="3">
      <c r="A3" t="inlineStr">
        <is>
          <t>2019-06-18</t>
        </is>
      </c>
      <c r="B3" t="inlineStr">
        <is>
          <t>Larsen &amp; Toubro</t>
        </is>
      </c>
      <c r="C3" t="inlineStr">
        <is>
          <t>Mindtree</t>
        </is>
      </c>
      <c r="D3" t="n">
        <v>10733</v>
      </c>
      <c r="E3" t="inlineStr">
        <is>
          <t>cash</t>
        </is>
      </c>
      <c r="F3" t="n">
        <v>1.8</v>
      </c>
      <c r="H3" t="inlineStr">
        <is>
          <t>completed</t>
        </is>
      </c>
      <c r="I3" t="inlineStr">
        <is>
          <t>VERIFIED — hostile takeover; bought 20.3% from V.G. Siddhartha at Rs 980; open offer at Rs 980 (1.8% over Rs 962.5 mkt); raised stake to 51%; total ~Rs 10733 cr; EV/EBITDA and P/E unverified</t>
        </is>
      </c>
      <c r="J3" t="inlineStr">
        <is>
          <t>https://www.thenewsminute.com/money/lts-hostile-takeover-bid-mindtree-explained-98608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2026-07-05T03:32:45Z</dcterms:created>
  <dcterms:modified xmlns:dcterms="http://purl.org/dc/terms/" xmlns:xsi="http://www.w3.org/2001/XMLSchema-instance" xsi:type="dcterms:W3CDTF">2026-07-05T03:32:45Z</dcterms:modified>
</cp:coreProperties>
</file>