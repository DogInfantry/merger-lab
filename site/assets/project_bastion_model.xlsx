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Sources &amp; Uses" sheetId="2" state="visible" r:id="rId2"/>
    <sheet xmlns:r="http://schemas.openxmlformats.org/officeDocument/2006/relationships" name="PPA" sheetId="3" state="visible" r:id="rId3"/>
    <sheet xmlns:r="http://schemas.openxmlformats.org/officeDocument/2006/relationships" name="Pro-Forma P&amp;L" sheetId="4" state="visible" r:id="rId4"/>
    <sheet xmlns:r="http://schemas.openxmlformats.org/officeDocument/2006/relationships" name="Accretion-Dilution" sheetId="5" state="visible" r:id="rId5"/>
    <sheet xmlns:r="http://schemas.openxmlformats.org/officeDocument/2006/relationships" name="Regulatory" sheetId="6" state="visible" r:id="rId6"/>
    <sheet xmlns:r="http://schemas.openxmlformats.org/officeDocument/2006/relationships" name="Contribution" sheetId="7" state="visible" r:id="rId7"/>
    <sheet xmlns:r="http://schemas.openxmlformats.org/officeDocument/2006/relationships" name="Value Bridge" sheetId="8" state="visible" r:id="rId8"/>
    <sheet xmlns:r="http://schemas.openxmlformats.org/officeDocument/2006/relationships" name="Sensitivity" sheetId="9" state="visible" r:id="rId9"/>
    <sheet xmlns:r="http://schemas.openxmlformats.org/officeDocument/2006/relationships" name="Precedent Comp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[&gt;=100000]&quot;₹ &quot;##\,##\,##0&quot; Cr&quot;;[&lt;=-100000]&quot;₹ -&quot;##\,##\,##0&quot; Cr&quot;;&quot;₹ &quot;#,##0.0&quot; Cr&quot;"/>
    <numFmt numFmtId="165" formatCode="0.0%"/>
    <numFmt numFmtId="166" formatCode="+0.0%;-0.0%"/>
    <numFmt numFmtId="167" formatCode="0.000000"/>
    <numFmt numFmtId="168" formatCode="0.00&quot;x&quot;"/>
    <numFmt numFmtId="169" formatCode="+0.00;-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color rgb="000000CC"/>
    </font>
    <font>
      <b val="1"/>
    </font>
  </fonts>
  <fills count="3">
    <fill>
      <patternFill/>
    </fill>
    <fill>
      <patternFill patternType="gray125"/>
    </fill>
    <fill>
      <patternFill patternType="solid">
        <fgColor rgb="00070B14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4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0" fontId="2" fillId="0" borderId="0" pivotButton="0" quotePrefix="0" xfId="0"/>
    <xf numFmtId="9" fontId="2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4" fontId="0" fillId="0" borderId="0" pivotButton="0" quotePrefix="0" xfId="0"/>
    <xf numFmtId="0" fontId="3" fillId="0" borderId="0" pivotButton="0" quotePrefix="0" xfId="0"/>
    <xf numFmtId="167" fontId="0" fillId="0" borderId="0" pivotButton="0" quotePrefix="0" xfId="0"/>
    <xf numFmtId="166" fontId="3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</cols>
  <sheetData>
    <row r="1">
      <c r="A1" s="1" t="inlineStr">
        <is>
          <t>ACQUIRER — UltraTech Cement Limited</t>
        </is>
      </c>
      <c r="B1" s="2" t="n"/>
    </row>
    <row r="2">
      <c r="A2" t="inlineStr">
        <is>
          <t>Share price (₹)</t>
        </is>
      </c>
      <c r="B2" s="3" t="n">
        <v>11723</v>
      </c>
    </row>
    <row r="3">
      <c r="A3" t="inlineStr">
        <is>
          <t>Shares outstanding (Cr)</t>
        </is>
      </c>
      <c r="B3" s="3" t="n">
        <v>29.4169635</v>
      </c>
    </row>
    <row r="4">
      <c r="A4" t="inlineStr">
        <is>
          <t>Net income TTM (₹ Cr)</t>
        </is>
      </c>
      <c r="B4" s="4" t="n">
        <v>8165.6397824</v>
      </c>
    </row>
    <row r="5">
      <c r="A5" t="inlineStr">
        <is>
          <t>Revenue TTM (₹ Cr)</t>
        </is>
      </c>
      <c r="B5" s="4" t="n">
        <v>88511.53223680001</v>
      </c>
    </row>
    <row r="6">
      <c r="A6" t="inlineStr">
        <is>
          <t>EBITDA TTM (₹ Cr)</t>
        </is>
      </c>
      <c r="B6" s="4" t="n">
        <v>17020.2300416</v>
      </c>
    </row>
    <row r="7">
      <c r="A7" t="inlineStr">
        <is>
          <t>Total debt (₹ Cr)</t>
        </is>
      </c>
      <c r="B7" s="4" t="n">
        <v>23755.0895104</v>
      </c>
    </row>
    <row r="8">
      <c r="A8" t="inlineStr">
        <is>
          <t>Cash (₹ Cr)</t>
        </is>
      </c>
      <c r="B8" s="4" t="n">
        <v>5119.9700992</v>
      </c>
    </row>
    <row r="9">
      <c r="A9" t="inlineStr">
        <is>
          <t>Book value (₹ Cr)</t>
        </is>
      </c>
      <c r="B9" s="4" t="n">
        <v>72038.87832855149</v>
      </c>
    </row>
    <row r="10">
      <c r="A10" s="1" t="inlineStr">
        <is>
          <t>TARGET — J.K. Cement Limited</t>
        </is>
      </c>
      <c r="B10" s="2" t="n"/>
    </row>
    <row r="11">
      <c r="A11" t="inlineStr">
        <is>
          <t>Undisturbed price (₹)</t>
        </is>
      </c>
      <c r="B11" s="3" t="n">
        <v>5495.5</v>
      </c>
    </row>
    <row r="12">
      <c r="A12" t="inlineStr">
        <is>
          <t>Diluted shares (Cr)</t>
        </is>
      </c>
      <c r="B12" s="3" t="n">
        <v>7.7268251</v>
      </c>
    </row>
    <row r="13">
      <c r="A13" t="inlineStr">
        <is>
          <t>Net income TTM (₹ Cr)</t>
        </is>
      </c>
      <c r="B13" s="4" t="n">
        <v>992.489984</v>
      </c>
    </row>
    <row r="14">
      <c r="A14" t="inlineStr">
        <is>
          <t>Revenue TTM (₹ Cr)</t>
        </is>
      </c>
      <c r="B14" s="4" t="n">
        <v>13736.8600576</v>
      </c>
    </row>
    <row r="15">
      <c r="A15" t="inlineStr">
        <is>
          <t>EBITDA TTM (₹ Cr)</t>
        </is>
      </c>
      <c r="B15" s="4" t="n">
        <v>2369.1399168</v>
      </c>
    </row>
    <row r="16">
      <c r="A16" t="inlineStr">
        <is>
          <t>Total debt (₹ Cr)</t>
        </is>
      </c>
      <c r="B16" s="4" t="n">
        <v>6205.5698432</v>
      </c>
    </row>
    <row r="17">
      <c r="A17" t="inlineStr">
        <is>
          <t>Book value (₹ Cr)</t>
        </is>
      </c>
      <c r="B17" s="4" t="n">
        <v>7037.252320775599</v>
      </c>
    </row>
    <row r="18">
      <c r="A18" s="1" t="inlineStr">
        <is>
          <t>DEAL TERMS</t>
        </is>
      </c>
      <c r="B18" s="2" t="n"/>
    </row>
    <row r="19">
      <c r="A19" t="inlineStr">
        <is>
          <t>Offer price (₹)</t>
        </is>
      </c>
      <c r="B19" s="3" t="n">
        <v>6319.82</v>
      </c>
    </row>
    <row r="20">
      <c r="A20" t="inlineStr">
        <is>
          <t>Negotiated stake %</t>
        </is>
      </c>
      <c r="B20" s="5" t="n">
        <v>0.64</v>
      </c>
    </row>
    <row r="21">
      <c r="A21" t="inlineStr">
        <is>
          <t>% cash consideration</t>
        </is>
      </c>
      <c r="B21" s="5" t="n">
        <v>1</v>
      </c>
    </row>
    <row r="22">
      <c r="A22" t="inlineStr">
        <is>
          <t>% stock consideration</t>
        </is>
      </c>
      <c r="B22" s="5" t="n">
        <v>0</v>
      </c>
    </row>
    <row r="23">
      <c r="A23" t="inlineStr">
        <is>
          <t>% of cash needs from new debt</t>
        </is>
      </c>
      <c r="B23" s="5" t="n">
        <v>0.65</v>
      </c>
    </row>
    <row r="24">
      <c r="A24" t="inlineStr">
        <is>
          <t>New debt interest rate</t>
        </is>
      </c>
      <c r="B24" s="6" t="n">
        <v>0.08500000000000001</v>
      </c>
    </row>
    <row r="25">
      <c r="A25" t="inlineStr">
        <is>
          <t>Cash yield foregone</t>
        </is>
      </c>
      <c r="B25" s="6" t="n">
        <v>0.06</v>
      </c>
    </row>
    <row r="26">
      <c r="A26" t="inlineStr">
        <is>
          <t>Run-rate synergies (₹ Cr)</t>
        </is>
      </c>
      <c r="B26" s="4" t="n">
        <v>370</v>
      </c>
    </row>
    <row r="27">
      <c r="A27" t="inlineStr">
        <is>
          <t>Synergy phase-in Y1</t>
        </is>
      </c>
      <c r="B27" s="7" t="n">
        <v>0.5</v>
      </c>
    </row>
    <row r="28">
      <c r="A28" t="inlineStr">
        <is>
          <t>Synergy phase-in Y2</t>
        </is>
      </c>
      <c r="B28" s="7" t="n">
        <v>0.75</v>
      </c>
    </row>
    <row r="29">
      <c r="A29" t="inlineStr">
        <is>
          <t>Synergy phase-in Y3</t>
        </is>
      </c>
      <c r="B29" s="7" t="n">
        <v>1</v>
      </c>
    </row>
    <row r="30">
      <c r="A30" t="inlineStr">
        <is>
          <t>Integration costs Y1 (₹ Cr)</t>
        </is>
      </c>
      <c r="B30" s="4" t="n">
        <v>180</v>
      </c>
    </row>
    <row r="31">
      <c r="A31" t="inlineStr">
        <is>
          <t>Intangible write-up % of excess</t>
        </is>
      </c>
      <c r="B31" s="5" t="n">
        <v>0.35</v>
      </c>
    </row>
    <row r="32">
      <c r="A32" t="inlineStr">
        <is>
          <t>Intangible life (years)</t>
        </is>
      </c>
      <c r="B32" s="8" t="n">
        <v>8</v>
      </c>
    </row>
    <row r="33">
      <c r="A33" t="inlineStr">
        <is>
          <t>Tax rate</t>
        </is>
      </c>
      <c r="B33" s="6" t="n">
        <v>0.2517</v>
      </c>
    </row>
    <row r="34">
      <c r="A34" t="inlineStr">
        <is>
          <t>Transaction fees %</t>
        </is>
      </c>
      <c r="B34" s="6" t="n">
        <v>0.015</v>
      </c>
    </row>
    <row r="35">
      <c r="A35" t="inlineStr">
        <is>
          <t>WACC</t>
        </is>
      </c>
      <c r="B35" s="6" t="n">
        <v>0.12</v>
      </c>
    </row>
    <row r="36">
      <c r="A36" t="inlineStr">
        <is>
          <t>Open-offer acceptance assumption</t>
        </is>
      </c>
      <c r="B36" s="7" t="n">
        <v>1</v>
      </c>
    </row>
    <row r="37">
      <c r="A37" s="1" t="inlineStr">
        <is>
          <t>CONVENTION</t>
        </is>
      </c>
      <c r="B37" s="2" t="n"/>
    </row>
    <row r="38">
      <c r="A38" t="inlineStr">
        <is>
          <t>Blue font = hardcoded input. All other tabs are formulas.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₹ Cr</t>
        </is>
      </c>
      <c r="B1" s="1" t="inlineStr">
        <is>
          <t>0% acceptance</t>
        </is>
      </c>
      <c r="C1" s="1" t="inlineStr">
        <is>
          <t>50% acceptance</t>
        </is>
      </c>
      <c r="D1" s="1" t="inlineStr">
        <is>
          <t>100% acceptance</t>
        </is>
      </c>
    </row>
    <row r="2">
      <c r="A2" t="inlineStr">
        <is>
          <t>Equity purchase (negotiated)</t>
        </is>
      </c>
      <c r="B2" s="9">
        <f>Assumptions!$B$19*Assumptions!$B$12*Assumptions!$B$20</f>
        <v/>
      </c>
      <c r="C2" s="9">
        <f>Assumptions!$B$19*Assumptions!$B$12*Assumptions!$B$20</f>
        <v/>
      </c>
      <c r="D2" s="9">
        <f>Assumptions!$B$19*Assumptions!$B$12*Assumptions!$B$20</f>
        <v/>
      </c>
    </row>
    <row r="3">
      <c r="A3" t="inlineStr">
        <is>
          <t>Open offer consideration</t>
        </is>
      </c>
      <c r="B3" s="9">
        <f>26%*Assumptions!$B$12*Assumptions!$B$19*0.0</f>
        <v/>
      </c>
      <c r="C3" s="9">
        <f>26%*Assumptions!$B$12*Assumptions!$B$19*0.5</f>
        <v/>
      </c>
      <c r="D3" s="9">
        <f>26%*Assumptions!$B$12*Assumptions!$B$19*1.0</f>
        <v/>
      </c>
    </row>
    <row r="4">
      <c r="A4" t="inlineStr">
        <is>
          <t>Refinance target debt</t>
        </is>
      </c>
      <c r="B4" s="9">
        <f>Assumptions!$B$16*0</f>
        <v/>
      </c>
      <c r="C4" s="9">
        <f>Assumptions!$B$16*0</f>
        <v/>
      </c>
      <c r="D4" s="9">
        <f>Assumptions!$B$16*0</f>
        <v/>
      </c>
    </row>
    <row r="5">
      <c r="A5" t="inlineStr">
        <is>
          <t>Transaction fees</t>
        </is>
      </c>
      <c r="B5" s="9">
        <f>Assumptions!$B$34*(B2+B3)</f>
        <v/>
      </c>
      <c r="C5" s="9">
        <f>Assumptions!$B$34*(C2+C3)</f>
        <v/>
      </c>
      <c r="D5" s="9">
        <f>Assumptions!$B$34*(D2+D3)</f>
        <v/>
      </c>
    </row>
    <row r="6">
      <c r="A6" s="10" t="inlineStr">
        <is>
          <t>TOTAL USES</t>
        </is>
      </c>
      <c r="B6" s="11">
        <f>SUM(B2:B5)</f>
        <v/>
      </c>
      <c r="C6" s="11">
        <f>SUM(C2:C5)</f>
        <v/>
      </c>
      <c r="D6" s="11">
        <f>SUM(D2:D5)</f>
        <v/>
      </c>
    </row>
    <row r="7">
      <c r="A7" t="inlineStr">
        <is>
          <t>New acquirer stock</t>
        </is>
      </c>
      <c r="B7" s="9">
        <f>Assumptions!$B$22*B2</f>
        <v/>
      </c>
      <c r="C7" s="9">
        <f>Assumptions!$B$22*C2</f>
        <v/>
      </c>
      <c r="D7" s="9">
        <f>Assumptions!$B$22*D2</f>
        <v/>
      </c>
    </row>
    <row r="8">
      <c r="A8" t="inlineStr">
        <is>
          <t>New bank debt</t>
        </is>
      </c>
      <c r="B8" s="9">
        <f>Assumptions!$B$23*(Assumptions!$B$21*B2+B3+B4+B5)</f>
        <v/>
      </c>
      <c r="C8" s="9">
        <f>Assumptions!$B$23*(Assumptions!$B$21*C2+C3+C4+C5)</f>
        <v/>
      </c>
      <c r="D8" s="9">
        <f>Assumptions!$B$23*(Assumptions!$B$21*D2+D3+D4+D5)</f>
        <v/>
      </c>
    </row>
    <row r="9">
      <c r="A9" t="inlineStr">
        <is>
          <t>Balance-sheet cash</t>
        </is>
      </c>
      <c r="B9" s="9">
        <f>(Assumptions!$B$21*B2+B3+B4+B5)-B8</f>
        <v/>
      </c>
      <c r="C9" s="9">
        <f>(Assumptions!$B$21*C2+C3+C4+C5)-C8</f>
        <v/>
      </c>
      <c r="D9" s="9">
        <f>(Assumptions!$B$21*D2+D3+D4+D5)-D8</f>
        <v/>
      </c>
    </row>
    <row r="10">
      <c r="A10" s="10" t="inlineStr">
        <is>
          <t>TOTAL SOURCES</t>
        </is>
      </c>
      <c r="B10" s="11">
        <f>SUM(B7:B9)</f>
        <v/>
      </c>
      <c r="C10" s="11">
        <f>SUM(C7:C9)</f>
        <v/>
      </c>
      <c r="D10" s="11">
        <f>SUM(D7:D9)</f>
        <v/>
      </c>
    </row>
    <row r="11">
      <c r="A11" t="inlineStr">
        <is>
          <t>Balance check (must be 0)</t>
        </is>
      </c>
      <c r="B11" s="9">
        <f>B10-B6</f>
        <v/>
      </c>
      <c r="C11" s="9">
        <f>C10-C6</f>
        <v/>
      </c>
      <c r="D11" s="9">
        <f>D10-D6</f>
        <v/>
      </c>
    </row>
    <row r="12">
      <c r="A12" t="inlineStr">
        <is>
          <t>New shares issued (Cr)</t>
        </is>
      </c>
      <c r="B12" s="12">
        <f>B7/Assumptions!$B$2</f>
        <v/>
      </c>
      <c r="C12" s="12">
        <f>C7/Assumptions!$B$2</f>
        <v/>
      </c>
      <c r="D12" s="12">
        <f>D7/Assumptions!$B$2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Item</t>
        </is>
      </c>
      <c r="B1" s="1" t="inlineStr">
        <is>
          <t>₹ Cr</t>
        </is>
      </c>
    </row>
    <row r="2">
      <c r="A2" t="inlineStr">
        <is>
          <t>Equity invested (negotiated + open offer)</t>
        </is>
      </c>
      <c r="B2" s="9">
        <f>'Sources &amp; Uses'!D2+'Sources &amp; Uses'!D3</f>
        <v/>
      </c>
    </row>
    <row r="3">
      <c r="A3" t="inlineStr">
        <is>
          <t>Owned share of target book value</t>
        </is>
      </c>
      <c r="B3" s="9">
        <f>(Assumptions!$B$20+26%*Assumptions!$B$36)*Assumptions!$B$17</f>
        <v/>
      </c>
    </row>
    <row r="4">
      <c r="A4" t="inlineStr">
        <is>
          <t>Excess over book</t>
        </is>
      </c>
      <c r="B4" s="9">
        <f>B2-B3</f>
        <v/>
      </c>
    </row>
    <row r="5">
      <c r="A5" t="inlineStr">
        <is>
          <t>Intangible write-up</t>
        </is>
      </c>
      <c r="B5" s="9">
        <f>MAX(0,Assumptions!$B$31*B4)</f>
        <v/>
      </c>
    </row>
    <row r="6">
      <c r="A6" t="inlineStr">
        <is>
          <t>Deferred tax liability</t>
        </is>
      </c>
      <c r="B6" s="9">
        <f>Assumptions!$B$33*B5</f>
        <v/>
      </c>
    </row>
    <row r="7">
      <c r="A7" t="inlineStr">
        <is>
          <t>Goodwill</t>
        </is>
      </c>
      <c r="B7" s="9">
        <f>B4-B5+B6</f>
        <v/>
      </c>
    </row>
    <row r="8">
      <c r="A8" t="inlineStr">
        <is>
          <t>Incremental D&amp;A per year</t>
        </is>
      </c>
      <c r="B8" s="9">
        <f>B5/Assumptions!$B$32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₹ Cr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</row>
    <row r="2">
      <c r="A2" t="inlineStr">
        <is>
          <t>Acquirer net income</t>
        </is>
      </c>
      <c r="B2" s="9">
        <f>Assumptions!$B$4</f>
        <v/>
      </c>
      <c r="C2" s="9">
        <f>Assumptions!$B$4</f>
        <v/>
      </c>
      <c r="D2" s="9">
        <f>Assumptions!$B$4</f>
        <v/>
      </c>
    </row>
    <row r="3">
      <c r="A3" t="inlineStr">
        <is>
          <t>Owned target net income</t>
        </is>
      </c>
      <c r="B3" s="9">
        <f>(Assumptions!$B$20+26%*Assumptions!$B$36)*Assumptions!$B$13</f>
        <v/>
      </c>
      <c r="C3" s="9">
        <f>(Assumptions!$B$20+26%*Assumptions!$B$36)*Assumptions!$B$13</f>
        <v/>
      </c>
      <c r="D3" s="9">
        <f>(Assumptions!$B$20+26%*Assumptions!$B$36)*Assumptions!$B$13</f>
        <v/>
      </c>
    </row>
    <row r="4">
      <c r="A4" t="inlineStr">
        <is>
          <t>Synergies (phased, after-tax)</t>
        </is>
      </c>
      <c r="B4" s="9">
        <f>Assumptions!$B$26*Assumptions!$B$27*(1-Assumptions!$B$33)</f>
        <v/>
      </c>
      <c r="C4" s="9">
        <f>Assumptions!$B$26*Assumptions!$B$28*(1-Assumptions!$B$33)</f>
        <v/>
      </c>
      <c r="D4" s="9">
        <f>Assumptions!$B$26*Assumptions!$B$29*(1-Assumptions!$B$33)</f>
        <v/>
      </c>
    </row>
    <row r="5">
      <c r="A5" t="inlineStr">
        <is>
          <t>New interest expense (after-tax)</t>
        </is>
      </c>
      <c r="B5" s="9">
        <f>-'Sources &amp; Uses'!D8*Assumptions!$B$24*(1-Assumptions!$B$33)</f>
        <v/>
      </c>
      <c r="C5" s="9">
        <f>-'Sources &amp; Uses'!D8*Assumptions!$B$24*(1-Assumptions!$B$33)</f>
        <v/>
      </c>
      <c r="D5" s="9">
        <f>-'Sources &amp; Uses'!D8*Assumptions!$B$24*(1-Assumptions!$B$33)</f>
        <v/>
      </c>
    </row>
    <row r="6">
      <c r="A6" t="inlineStr">
        <is>
          <t>Foregone cash yield (after-tax)</t>
        </is>
      </c>
      <c r="B6" s="9">
        <f>-'Sources &amp; Uses'!D9*Assumptions!$B$25*(1-Assumptions!$B$33)</f>
        <v/>
      </c>
      <c r="C6" s="9">
        <f>-'Sources &amp; Uses'!D9*Assumptions!$B$25*(1-Assumptions!$B$33)</f>
        <v/>
      </c>
      <c r="D6" s="9">
        <f>-'Sources &amp; Uses'!D9*Assumptions!$B$25*(1-Assumptions!$B$33)</f>
        <v/>
      </c>
    </row>
    <row r="7">
      <c r="A7" t="inlineStr">
        <is>
          <t>Incremental D&amp;A (after-tax)</t>
        </is>
      </c>
      <c r="B7" s="9">
        <f>-PPA!B8*(1-Assumptions!$B$33)</f>
        <v/>
      </c>
      <c r="C7" s="9">
        <f>-PPA!B8*(1-Assumptions!$B$33)</f>
        <v/>
      </c>
      <c r="D7" s="9">
        <f>-PPA!B8*(1-Assumptions!$B$33)</f>
        <v/>
      </c>
    </row>
    <row r="8">
      <c r="A8" t="inlineStr">
        <is>
          <t>Integration costs (after-tax, Y1)</t>
        </is>
      </c>
      <c r="B8" s="9">
        <f>-Assumptions!$B$30*(1-Assumptions!$B$33)</f>
        <v/>
      </c>
      <c r="C8" s="9">
        <f>0</f>
        <v/>
      </c>
      <c r="D8" s="9">
        <f>0</f>
        <v/>
      </c>
    </row>
    <row r="9">
      <c r="A9" s="13" t="inlineStr">
        <is>
          <t>COMBINED NET INCOME</t>
        </is>
      </c>
      <c r="B9" s="11">
        <f>SUM(B2:B8)</f>
        <v/>
      </c>
      <c r="C9" s="11">
        <f>SUM(C2:C8)</f>
        <v/>
      </c>
      <c r="D9" s="11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3" customWidth="1" min="5" max="5"/>
    <col width="18" customWidth="1" min="6" max="6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/>
      <c r="F1" s="1" t="inlineStr">
        <is>
          <t>Δ vs engine (Y1)</t>
        </is>
      </c>
    </row>
    <row r="2">
      <c r="A2" t="inlineStr">
        <is>
          <t>Pro-forma shares (Cr)</t>
        </is>
      </c>
      <c r="B2" s="12">
        <f>Assumptions!$B$3+'Sources &amp; Uses'!D12</f>
        <v/>
      </c>
      <c r="C2" s="12">
        <f>Assumptions!$B$3+'Sources &amp; Uses'!D12</f>
        <v/>
      </c>
      <c r="D2" s="12">
        <f>Assumptions!$B$3+'Sources &amp; Uses'!D12</f>
        <v/>
      </c>
      <c r="F2" s="14">
        <f>B2-29.4169635</f>
        <v/>
      </c>
    </row>
    <row r="3">
      <c r="A3" t="inlineStr">
        <is>
          <t>Pro-forma EPS (₹)</t>
        </is>
      </c>
      <c r="B3" s="12">
        <f>'Pro-Forma P&amp;L'!B9/B2</f>
        <v/>
      </c>
      <c r="C3" s="12">
        <f>'Pro-Forma P&amp;L'!C9/C2</f>
        <v/>
      </c>
      <c r="D3" s="12">
        <f>'Pro-Forma P&amp;L'!D9/D2</f>
        <v/>
      </c>
      <c r="F3" s="14">
        <f>B3-179.68943379284622</f>
        <v/>
      </c>
    </row>
    <row r="4">
      <c r="A4" t="inlineStr">
        <is>
          <t>Standalone acquirer EPS (₹)</t>
        </is>
      </c>
      <c r="B4" s="12">
        <f>Assumptions!$B$4/Assumptions!$B$3</f>
        <v/>
      </c>
      <c r="C4" s="12">
        <f>Assumptions!$B$4/Assumptions!$B$3</f>
        <v/>
      </c>
      <c r="D4" s="12">
        <f>Assumptions!$B$4/Assumptions!$B$3</f>
        <v/>
      </c>
      <c r="F4" s="14">
        <f>B4-277.5826873633643</f>
        <v/>
      </c>
    </row>
    <row r="5">
      <c r="A5" s="13" t="inlineStr">
        <is>
          <t>Accretion / (dilution)</t>
        </is>
      </c>
      <c r="B5" s="15">
        <f>B3/B4-1</f>
        <v/>
      </c>
      <c r="C5" s="15">
        <f>C3/C4-1</f>
        <v/>
      </c>
      <c r="D5" s="15">
        <f>D3/D4-1</f>
        <v/>
      </c>
      <c r="F5" s="14">
        <f>B5--0.35266339734787855</f>
        <v/>
      </c>
    </row>
    <row r="7">
      <c r="A7" t="inlineStr">
        <is>
          <t>Break-even synergies Y1 (₹ Cr)</t>
        </is>
      </c>
      <c r="B7" s="9">
        <f>(B4*B2-('Pro-Forma P&amp;L'!B9-Assumptions!$B$26*Assumptions!$B$27*(1-Assumptions!$B$33)))/(Assumptions!$B$27*(1-Assumptions!$B$33))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2" customWidth="1" min="4" max="4"/>
  </cols>
  <sheetData>
    <row r="1">
      <c r="A1" s="1" t="inlineStr">
        <is>
          <t>Check</t>
        </is>
      </c>
      <c r="B1" s="1" t="inlineStr">
        <is>
          <t>Value</t>
        </is>
      </c>
      <c r="C1" s="1" t="inlineStr">
        <is>
          <t>Threshold</t>
        </is>
      </c>
      <c r="D1" s="1" t="inlineStr">
        <is>
          <t>Status</t>
        </is>
      </c>
    </row>
    <row r="2">
      <c r="A2" t="inlineStr">
        <is>
          <t>RBI: bank debt ≤ 75% of acquisition value</t>
        </is>
      </c>
      <c r="B2" s="16">
        <f>'Sources &amp; Uses'!D8/('Sources &amp; Uses'!D2+'Sources &amp; Uses'!D3)</f>
        <v/>
      </c>
      <c r="C2" t="inlineStr">
        <is>
          <t>≤ 75%</t>
        </is>
      </c>
      <c r="D2">
        <f>IF(B2&lt;=75%,"PASS","FAIL")</f>
        <v/>
      </c>
    </row>
    <row r="3">
      <c r="A3" t="inlineStr">
        <is>
          <t>RBI: equity contribution ≥ 25%</t>
        </is>
      </c>
      <c r="B3" s="16">
        <f>1-'Sources &amp; Uses'!D8/'Sources &amp; Uses'!D10</f>
        <v/>
      </c>
      <c r="C3" t="inlineStr">
        <is>
          <t>≥ 25%</t>
        </is>
      </c>
      <c r="D3">
        <f>IF(B3&gt;=25%,"PASS","FAIL")</f>
        <v/>
      </c>
    </row>
    <row r="4">
      <c r="A4" t="inlineStr">
        <is>
          <t>RBI: pro-forma consolidated D/E ≤ 3.0x</t>
        </is>
      </c>
      <c r="B4" s="17">
        <f>(Assumptions!$B$7+'Sources &amp; Uses'!D8+Assumptions!$B$16*1)/(Assumptions!$B$9+'Sources &amp; Uses'!D7)</f>
        <v/>
      </c>
      <c r="C4" t="inlineStr">
        <is>
          <t>≤ 3.0x</t>
        </is>
      </c>
      <c r="D4">
        <f>IF(B4&lt;=3,"PASS","FAIL")</f>
        <v/>
      </c>
    </row>
    <row r="5">
      <c r="A5" t="inlineStr">
        <is>
          <t>RBI: acquirer net worth ≥ ₹500 Cr</t>
        </is>
      </c>
      <c r="B5" s="9">
        <f>Assumptions!$B$9</f>
        <v/>
      </c>
      <c r="C5" t="inlineStr">
        <is>
          <t>≥ ₹500 Cr</t>
        </is>
      </c>
      <c r="D5">
        <f>IF(B5&gt;=500,"PASS","FAIL")</f>
        <v/>
      </c>
    </row>
    <row r="7">
      <c r="A7" s="13" t="inlineStr">
        <is>
          <t>SEBI SAST</t>
        </is>
      </c>
    </row>
    <row r="8">
      <c r="A8" t="inlineStr">
        <is>
          <t>Acquiring 64% crosses the 25% threshold -&gt; mandatory open offer for 26% of the target at the floor price (modeled at the Rs 6,320 offer price; real floor is the highest-of tests incl. 60-day VWAP).</t>
        </is>
      </c>
    </row>
    <row r="9">
      <c r="A9" t="inlineStr">
        <is>
          <t>0% acceptance: buy 0.00 Cr shares for Rs 0 Cr; post-offer holding 64.0%.</t>
        </is>
      </c>
    </row>
    <row r="10">
      <c r="A10" t="inlineStr">
        <is>
          <t>50% acceptance: buy 1.00 Cr shares for Rs 6,348 Cr; post-offer holding 77.0%. BREACHES 75% MPS — must sell down within 12 months or pursue delisting (requires 90%).</t>
        </is>
      </c>
    </row>
    <row r="11">
      <c r="A11" t="inlineStr">
        <is>
          <t>100% acceptance: buy 2.01 Cr shares for Rs 12,696 Cr; post-offer holding 90.0%. BREACHES 75% MPS — must sell down within 12 months or pursue delisting (requires 90%).</t>
        </is>
      </c>
    </row>
    <row r="13">
      <c r="A13" s="13" t="inlineStr">
        <is>
          <t>CCI</t>
        </is>
      </c>
    </row>
    <row r="14">
      <c r="A14" t="inlineStr">
        <is>
          <t>Deal value Rs 31,253 Cr exceeds the Rs 2,000 Cr deal-value threshold (2024 amendment) — CCI approval required; expect ~150-210 days outer timeline, Green Channel possible if no overlaps.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</cols>
  <sheetData>
    <row r="1">
      <c r="A1" s="1" t="inlineStr">
        <is>
          <t>Metric</t>
        </is>
      </c>
      <c r="B1" s="1" t="inlineStr">
        <is>
          <t>Acquirer %</t>
        </is>
      </c>
      <c r="C1" s="1" t="inlineStr">
        <is>
          <t>Target %</t>
        </is>
      </c>
    </row>
    <row r="2">
      <c r="A2" t="inlineStr">
        <is>
          <t>Revenue</t>
        </is>
      </c>
      <c r="B2" s="16">
        <f>Assumptions!$B$5/(Assumptions!$B$5+Assumptions!$B$14)</f>
        <v/>
      </c>
      <c r="C2" s="16">
        <f>Assumptions!$B$14/(Assumptions!$B$5+Assumptions!$B$14)</f>
        <v/>
      </c>
    </row>
    <row r="3">
      <c r="A3" t="inlineStr">
        <is>
          <t>EBITDA</t>
        </is>
      </c>
      <c r="B3" s="16">
        <f>Assumptions!$B$6/(Assumptions!$B$6+Assumptions!$B$15)</f>
        <v/>
      </c>
      <c r="C3" s="16">
        <f>Assumptions!$B$15/(Assumptions!$B$6+Assumptions!$B$15)</f>
        <v/>
      </c>
    </row>
    <row r="4">
      <c r="A4" t="inlineStr">
        <is>
          <t>Net income</t>
        </is>
      </c>
      <c r="B4" s="16">
        <f>Assumptions!$B$4/(Assumptions!$B$4+Assumptions!$B$13)</f>
        <v/>
      </c>
      <c r="C4" s="16">
        <f>Assumptions!$B$13/(Assumptions!$B$4+Assumptions!$B$13)</f>
        <v/>
      </c>
    </row>
    <row r="5">
      <c r="A5" t="inlineStr">
        <is>
          <t>Pro-forma ownership</t>
        </is>
      </c>
      <c r="B5" s="16">
        <f>1-'Sources &amp; Uses'!D12/(Assumptions!$B$3+'Sources &amp; Uses'!D12)</f>
        <v/>
      </c>
      <c r="C5" s="16">
        <f>'Sources &amp; Uses'!D12/(Assumptions!$B$3+'Sources &amp; Uses'!D12)</f>
        <v/>
      </c>
    </row>
    <row r="7">
      <c r="A7" t="inlineStr">
        <is>
          <t>Target shareholders receive 0% ownership while contributing 11% of combined earnings (-11 pts) — premium justification required.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</cols>
  <sheetData>
    <row r="1">
      <c r="A1" s="1" t="inlineStr">
        <is>
          <t>Item</t>
        </is>
      </c>
      <c r="B1" s="1" t="inlineStr">
        <is>
          <t>₹ Cr</t>
        </is>
      </c>
    </row>
    <row r="2">
      <c r="A2" t="inlineStr">
        <is>
          <t>PV of after-tax synergies (perpetuity at WACC)</t>
        </is>
      </c>
      <c r="B2" s="9">
        <f>Assumptions!$B$26*(1-Assumptions!$B$33)/Assumptions!$B$35</f>
        <v/>
      </c>
    </row>
    <row r="3">
      <c r="A3" t="inlineStr">
        <is>
          <t>Control premium paid</t>
        </is>
      </c>
      <c r="B3" s="9">
        <f>(Assumptions!$B$19-Assumptions!$B$11)*Assumptions!$B$12*(Assumptions!$B$20+26%*Assumptions!$B$36)</f>
        <v/>
      </c>
    </row>
    <row r="4">
      <c r="A4" t="inlineStr">
        <is>
          <t>Net value created / (destroyed)</t>
        </is>
      </c>
      <c r="B4" s="9">
        <f>B2-B3</f>
        <v/>
      </c>
    </row>
    <row r="5">
      <c r="A5" t="inlineStr">
        <is>
          <t>Incremental NOPAT (owned NI + after-tax synergies)</t>
        </is>
      </c>
      <c r="B5" s="9">
        <f>(Assumptions!$B$20+26%*Assumptions!$B$36)*Assumptions!$B$13+Assumptions!$B$26*(1-Assumptions!$B$33)</f>
        <v/>
      </c>
    </row>
    <row r="6">
      <c r="A6" t="inlineStr">
        <is>
          <t>Invested capital (total uses)</t>
        </is>
      </c>
      <c r="B6" s="9">
        <f>'Sources &amp; Uses'!D6</f>
        <v/>
      </c>
    </row>
    <row r="7">
      <c r="A7" t="inlineStr">
        <is>
          <t>Incremental ROIC</t>
        </is>
      </c>
      <c r="B7" s="16">
        <f>B5/B6</f>
        <v/>
      </c>
    </row>
    <row r="8">
      <c r="A8" t="inlineStr">
        <is>
          <t>WACC</t>
        </is>
      </c>
      <c r="B8" s="16">
        <f>Assumptions!$B$35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/>
    </row>
    <row r="2">
      <c r="A2" s="13" t="inlineStr">
        <is>
          <t>Year-1 accretion %: premium (rows) × synergies ₹ Cr (cols) — engine values</t>
        </is>
      </c>
    </row>
    <row r="3">
      <c r="A3" t="inlineStr">
        <is>
          <t>Premium % \ Synergies Cr</t>
        </is>
      </c>
      <c r="B3" s="1" t="n">
        <v>0</v>
      </c>
      <c r="C3" s="1" t="n">
        <v>92</v>
      </c>
      <c r="D3" s="1" t="n">
        <v>185</v>
      </c>
      <c r="E3" s="1" t="n">
        <v>278</v>
      </c>
      <c r="F3" s="1" t="n">
        <v>370</v>
      </c>
      <c r="G3" s="1" t="n">
        <v>462</v>
      </c>
      <c r="H3" s="1" t="n">
        <v>555</v>
      </c>
      <c r="I3" s="1" t="n">
        <v>648</v>
      </c>
      <c r="J3" s="1" t="n">
        <v>740</v>
      </c>
    </row>
    <row r="4">
      <c r="A4" s="13" t="n">
        <v>5</v>
      </c>
      <c r="B4" s="18" t="n">
        <v>-23.74</v>
      </c>
      <c r="C4" s="18" t="n">
        <v>-23.32</v>
      </c>
      <c r="D4" s="18" t="n">
        <v>-22.9</v>
      </c>
      <c r="E4" s="18" t="n">
        <v>-22.47</v>
      </c>
      <c r="F4" s="18" t="n">
        <v>-22.05</v>
      </c>
      <c r="G4" s="18" t="n">
        <v>-21.62</v>
      </c>
      <c r="H4" s="18" t="n">
        <v>-21.2</v>
      </c>
      <c r="I4" s="18" t="n">
        <v>-20.78</v>
      </c>
      <c r="J4" s="18" t="n">
        <v>-20.35</v>
      </c>
    </row>
    <row r="5">
      <c r="A5" s="13" t="n">
        <v>7.5</v>
      </c>
      <c r="B5" s="18" t="n">
        <v>-24.5</v>
      </c>
      <c r="C5" s="18" t="n">
        <v>-24.07</v>
      </c>
      <c r="D5" s="18" t="n">
        <v>-23.65</v>
      </c>
      <c r="E5" s="18" t="n">
        <v>-23.23</v>
      </c>
      <c r="F5" s="18" t="n">
        <v>-22.8</v>
      </c>
      <c r="G5" s="18" t="n">
        <v>-22.38</v>
      </c>
      <c r="H5" s="18" t="n">
        <v>-21.95</v>
      </c>
      <c r="I5" s="18" t="n">
        <v>-21.53</v>
      </c>
      <c r="J5" s="18" t="n">
        <v>-21.11</v>
      </c>
    </row>
    <row r="6">
      <c r="A6" s="13" t="n">
        <v>10</v>
      </c>
      <c r="B6" s="18" t="n">
        <v>-25.25</v>
      </c>
      <c r="C6" s="18" t="n">
        <v>-24.83</v>
      </c>
      <c r="D6" s="18" t="n">
        <v>-24.4</v>
      </c>
      <c r="E6" s="18" t="n">
        <v>-23.98</v>
      </c>
      <c r="F6" s="18" t="n">
        <v>-23.56</v>
      </c>
      <c r="G6" s="18" t="n">
        <v>-23.13</v>
      </c>
      <c r="H6" s="18" t="n">
        <v>-22.71</v>
      </c>
      <c r="I6" s="18" t="n">
        <v>-22.29</v>
      </c>
      <c r="J6" s="18" t="n">
        <v>-21.86</v>
      </c>
    </row>
    <row r="7">
      <c r="A7" s="13" t="n">
        <v>12.5</v>
      </c>
      <c r="B7" s="18" t="n">
        <v>-26.01</v>
      </c>
      <c r="C7" s="18" t="n">
        <v>-25.58</v>
      </c>
      <c r="D7" s="18" t="n">
        <v>-25.16</v>
      </c>
      <c r="E7" s="18" t="n">
        <v>-24.73</v>
      </c>
      <c r="F7" s="18" t="n">
        <v>-24.31</v>
      </c>
      <c r="G7" s="18" t="n">
        <v>-23.89</v>
      </c>
      <c r="H7" s="18" t="n">
        <v>-23.46</v>
      </c>
      <c r="I7" s="18" t="n">
        <v>-23.04</v>
      </c>
      <c r="J7" s="18" t="n">
        <v>-22.62</v>
      </c>
    </row>
    <row r="8">
      <c r="A8" s="13" t="n">
        <v>15</v>
      </c>
      <c r="B8" s="18" t="n">
        <v>-26.76</v>
      </c>
      <c r="C8" s="18" t="n">
        <v>-26.34</v>
      </c>
      <c r="D8" s="18" t="n">
        <v>-25.91</v>
      </c>
      <c r="E8" s="18" t="n">
        <v>-25.49</v>
      </c>
      <c r="F8" s="18" t="n">
        <v>-25.07</v>
      </c>
      <c r="G8" s="18" t="n">
        <v>-24.64</v>
      </c>
      <c r="H8" s="18" t="n">
        <v>-24.22</v>
      </c>
      <c r="I8" s="18" t="n">
        <v>-23.79</v>
      </c>
      <c r="J8" s="18" t="n">
        <v>-23.37</v>
      </c>
    </row>
    <row r="9">
      <c r="A9" s="13" t="n">
        <v>17.5</v>
      </c>
      <c r="B9" s="18" t="n">
        <v>-27.51</v>
      </c>
      <c r="C9" s="18" t="n">
        <v>-27.09</v>
      </c>
      <c r="D9" s="18" t="n">
        <v>-26.67</v>
      </c>
      <c r="E9" s="18" t="n">
        <v>-26.24</v>
      </c>
      <c r="F9" s="18" t="n">
        <v>-25.82</v>
      </c>
      <c r="G9" s="18" t="n">
        <v>-25.4</v>
      </c>
      <c r="H9" s="18" t="n">
        <v>-24.97</v>
      </c>
      <c r="I9" s="18" t="n">
        <v>-24.55</v>
      </c>
      <c r="J9" s="18" t="n">
        <v>-24.12</v>
      </c>
    </row>
    <row r="10">
      <c r="A10" s="13" t="n">
        <v>20</v>
      </c>
      <c r="B10" s="18" t="n">
        <v>-28.27</v>
      </c>
      <c r="C10" s="18" t="n">
        <v>-27.85</v>
      </c>
      <c r="D10" s="18" t="n">
        <v>-27.42</v>
      </c>
      <c r="E10" s="18" t="n">
        <v>-27</v>
      </c>
      <c r="F10" s="18" t="n">
        <v>-26.57</v>
      </c>
      <c r="G10" s="18" t="n">
        <v>-26.15</v>
      </c>
      <c r="H10" s="18" t="n">
        <v>-25.73</v>
      </c>
      <c r="I10" s="18" t="n">
        <v>-25.3</v>
      </c>
      <c r="J10" s="18" t="n">
        <v>-24.88</v>
      </c>
    </row>
    <row r="11">
      <c r="A11" s="13" t="n">
        <v>22.5</v>
      </c>
      <c r="B11" s="18" t="n">
        <v>-29.02</v>
      </c>
      <c r="C11" s="18" t="n">
        <v>-28.6</v>
      </c>
      <c r="D11" s="18" t="n">
        <v>-28.18</v>
      </c>
      <c r="E11" s="18" t="n">
        <v>-27.75</v>
      </c>
      <c r="F11" s="18" t="n">
        <v>-27.33</v>
      </c>
      <c r="G11" s="18" t="n">
        <v>-26.9</v>
      </c>
      <c r="H11" s="18" t="n">
        <v>-26.48</v>
      </c>
      <c r="I11" s="18" t="n">
        <v>-26.06</v>
      </c>
      <c r="J11" s="18" t="n">
        <v>-25.63</v>
      </c>
    </row>
    <row r="12">
      <c r="A12" s="13" t="n">
        <v>25</v>
      </c>
      <c r="B12" s="18" t="n">
        <v>-29.78</v>
      </c>
      <c r="C12" s="18" t="n">
        <v>-29.35</v>
      </c>
      <c r="D12" s="18" t="n">
        <v>-28.93</v>
      </c>
      <c r="E12" s="18" t="n">
        <v>-28.51</v>
      </c>
      <c r="F12" s="18" t="n">
        <v>-28.08</v>
      </c>
      <c r="G12" s="18" t="n">
        <v>-27.66</v>
      </c>
      <c r="H12" s="18" t="n">
        <v>-27.23</v>
      </c>
      <c r="I12" s="18" t="n">
        <v>-26.81</v>
      </c>
      <c r="J12" s="18" t="n">
        <v>-26.39</v>
      </c>
    </row>
    <row r="14">
      <c r="A14" s="13" t="inlineStr">
        <is>
          <t>Year-1 accretion %: % cash (rows) × premium (cols) — engine values</t>
        </is>
      </c>
    </row>
    <row r="15">
      <c r="A15" t="inlineStr">
        <is>
          <t>% Cash \ Premium %</t>
        </is>
      </c>
      <c r="B15" s="1" t="n">
        <v>5</v>
      </c>
      <c r="C15" s="1" t="n">
        <v>7.5</v>
      </c>
      <c r="D15" s="1" t="n">
        <v>10</v>
      </c>
      <c r="E15" s="1" t="n">
        <v>12.5</v>
      </c>
      <c r="F15" s="1" t="n">
        <v>15</v>
      </c>
      <c r="G15" s="1" t="n">
        <v>17.5</v>
      </c>
      <c r="H15" s="1" t="n">
        <v>20</v>
      </c>
      <c r="I15" s="1" t="n">
        <v>22.5</v>
      </c>
      <c r="J15" s="1" t="n">
        <v>25</v>
      </c>
    </row>
    <row r="16">
      <c r="A16" s="13" t="n">
        <v>0</v>
      </c>
      <c r="B16" s="18" t="n">
        <v>-9.59</v>
      </c>
      <c r="C16" s="18" t="n">
        <v>-10.01</v>
      </c>
      <c r="D16" s="18" t="n">
        <v>-10.43</v>
      </c>
      <c r="E16" s="18" t="n">
        <v>-10.85</v>
      </c>
      <c r="F16" s="18" t="n">
        <v>-11.27</v>
      </c>
      <c r="G16" s="18" t="n">
        <v>-11.68</v>
      </c>
      <c r="H16" s="18" t="n">
        <v>-12.1</v>
      </c>
      <c r="I16" s="18" t="n">
        <v>-12.51</v>
      </c>
      <c r="J16" s="18" t="n">
        <v>-12.92</v>
      </c>
    </row>
    <row r="17">
      <c r="A17" s="13" t="n">
        <v>10</v>
      </c>
      <c r="B17" s="18" t="n">
        <v>-10.75</v>
      </c>
      <c r="C17" s="18" t="n">
        <v>-11.2</v>
      </c>
      <c r="D17" s="18" t="n">
        <v>-11.65</v>
      </c>
      <c r="E17" s="18" t="n">
        <v>-12.1</v>
      </c>
      <c r="F17" s="18" t="n">
        <v>-12.54</v>
      </c>
      <c r="G17" s="18" t="n">
        <v>-12.99</v>
      </c>
      <c r="H17" s="18" t="n">
        <v>-13.43</v>
      </c>
      <c r="I17" s="18" t="n">
        <v>-13.87</v>
      </c>
      <c r="J17" s="18" t="n">
        <v>-14.32</v>
      </c>
    </row>
    <row r="18">
      <c r="A18" s="13" t="n">
        <v>20</v>
      </c>
      <c r="B18" s="18" t="n">
        <v>-11.93</v>
      </c>
      <c r="C18" s="18" t="n">
        <v>-12.41</v>
      </c>
      <c r="D18" s="18" t="n">
        <v>-12.89</v>
      </c>
      <c r="E18" s="18" t="n">
        <v>-13.36</v>
      </c>
      <c r="F18" s="18" t="n">
        <v>-13.84</v>
      </c>
      <c r="G18" s="18" t="n">
        <v>-14.32</v>
      </c>
      <c r="H18" s="18" t="n">
        <v>-14.79</v>
      </c>
      <c r="I18" s="18" t="n">
        <v>-15.26</v>
      </c>
      <c r="J18" s="18" t="n">
        <v>-15.73</v>
      </c>
    </row>
    <row r="19">
      <c r="A19" s="13" t="n">
        <v>30</v>
      </c>
      <c r="B19" s="18" t="n">
        <v>-13.12</v>
      </c>
      <c r="C19" s="18" t="n">
        <v>-13.63</v>
      </c>
      <c r="D19" s="18" t="n">
        <v>-14.14</v>
      </c>
      <c r="E19" s="18" t="n">
        <v>-14.65</v>
      </c>
      <c r="F19" s="18" t="n">
        <v>-15.16</v>
      </c>
      <c r="G19" s="18" t="n">
        <v>-15.67</v>
      </c>
      <c r="H19" s="18" t="n">
        <v>-16.17</v>
      </c>
      <c r="I19" s="18" t="n">
        <v>-16.67</v>
      </c>
      <c r="J19" s="18" t="n">
        <v>-17.18</v>
      </c>
    </row>
    <row r="20">
      <c r="A20" s="13" t="n">
        <v>40</v>
      </c>
      <c r="B20" s="18" t="n">
        <v>-14.34</v>
      </c>
      <c r="C20" s="18" t="n">
        <v>-14.88</v>
      </c>
      <c r="D20" s="18" t="n">
        <v>-15.42</v>
      </c>
      <c r="E20" s="18" t="n">
        <v>-15.96</v>
      </c>
      <c r="F20" s="18" t="n">
        <v>-16.5</v>
      </c>
      <c r="G20" s="18" t="n">
        <v>-17.04</v>
      </c>
      <c r="H20" s="18" t="n">
        <v>-17.58</v>
      </c>
      <c r="I20" s="18" t="n">
        <v>-18.11</v>
      </c>
      <c r="J20" s="18" t="n">
        <v>-18.65</v>
      </c>
    </row>
    <row r="21">
      <c r="A21" s="13" t="n">
        <v>50</v>
      </c>
      <c r="B21" s="18" t="n">
        <v>-15.57</v>
      </c>
      <c r="C21" s="18" t="n">
        <v>-16.15</v>
      </c>
      <c r="D21" s="18" t="n">
        <v>-16.72</v>
      </c>
      <c r="E21" s="18" t="n">
        <v>-17.3</v>
      </c>
      <c r="F21" s="18" t="n">
        <v>-17.87</v>
      </c>
      <c r="G21" s="18" t="n">
        <v>-18.44</v>
      </c>
      <c r="H21" s="18" t="n">
        <v>-19.01</v>
      </c>
      <c r="I21" s="18" t="n">
        <v>-19.58</v>
      </c>
      <c r="J21" s="18" t="n">
        <v>-20.15</v>
      </c>
    </row>
    <row r="22">
      <c r="A22" s="13" t="n">
        <v>60</v>
      </c>
      <c r="B22" s="18" t="n">
        <v>-16.83</v>
      </c>
      <c r="C22" s="18" t="n">
        <v>-17.43</v>
      </c>
      <c r="D22" s="18" t="n">
        <v>-18.04</v>
      </c>
      <c r="E22" s="18" t="n">
        <v>-18.65</v>
      </c>
      <c r="F22" s="18" t="n">
        <v>-19.26</v>
      </c>
      <c r="G22" s="18" t="n">
        <v>-19.86</v>
      </c>
      <c r="H22" s="18" t="n">
        <v>-20.47</v>
      </c>
      <c r="I22" s="18" t="n">
        <v>-21.07</v>
      </c>
      <c r="J22" s="18" t="n">
        <v>-21.67</v>
      </c>
    </row>
    <row r="23">
      <c r="A23" s="13" t="n">
        <v>70</v>
      </c>
      <c r="B23" s="18" t="n">
        <v>-18.1</v>
      </c>
      <c r="C23" s="18" t="n">
        <v>-18.74</v>
      </c>
      <c r="D23" s="18" t="n">
        <v>-19.39</v>
      </c>
      <c r="E23" s="18" t="n">
        <v>-20.03</v>
      </c>
      <c r="F23" s="18" t="n">
        <v>-20.67</v>
      </c>
      <c r="G23" s="18" t="n">
        <v>-21.31</v>
      </c>
      <c r="H23" s="18" t="n">
        <v>-21.95</v>
      </c>
      <c r="I23" s="18" t="n">
        <v>-22.59</v>
      </c>
      <c r="J23" s="18" t="n">
        <v>-23.23</v>
      </c>
    </row>
    <row r="24">
      <c r="A24" s="13" t="n">
        <v>80</v>
      </c>
      <c r="B24" s="18" t="n">
        <v>-19.39</v>
      </c>
      <c r="C24" s="18" t="n">
        <v>-20.07</v>
      </c>
      <c r="D24" s="18" t="n">
        <v>-20.75</v>
      </c>
      <c r="E24" s="18" t="n">
        <v>-21.43</v>
      </c>
      <c r="F24" s="18" t="n">
        <v>-22.11</v>
      </c>
      <c r="G24" s="18" t="n">
        <v>-22.79</v>
      </c>
      <c r="H24" s="18" t="n">
        <v>-23.46</v>
      </c>
      <c r="I24" s="18" t="n">
        <v>-24.14</v>
      </c>
      <c r="J24" s="18" t="n">
        <v>-24.82</v>
      </c>
    </row>
    <row r="25">
      <c r="A25" s="13" t="n">
        <v>90</v>
      </c>
      <c r="B25" s="18" t="n">
        <v>-20.71</v>
      </c>
      <c r="C25" s="18" t="n">
        <v>-21.43</v>
      </c>
      <c r="D25" s="18" t="n">
        <v>-22.14</v>
      </c>
      <c r="E25" s="18" t="n">
        <v>-22.86</v>
      </c>
      <c r="F25" s="18" t="n">
        <v>-23.57</v>
      </c>
      <c r="G25" s="18" t="n">
        <v>-24.29</v>
      </c>
      <c r="H25" s="18" t="n">
        <v>-25</v>
      </c>
      <c r="I25" s="18" t="n">
        <v>-25.72</v>
      </c>
      <c r="J25" s="18" t="n">
        <v>-26.43</v>
      </c>
    </row>
    <row r="26">
      <c r="A26" s="13" t="n">
        <v>100</v>
      </c>
      <c r="B26" s="18" t="n">
        <v>-22.05</v>
      </c>
      <c r="C26" s="18" t="n">
        <v>-22.8</v>
      </c>
      <c r="D26" s="18" t="n">
        <v>-23.56</v>
      </c>
      <c r="E26" s="18" t="n">
        <v>-24.31</v>
      </c>
      <c r="F26" s="18" t="n">
        <v>-25.07</v>
      </c>
      <c r="G26" s="18" t="n">
        <v>-25.82</v>
      </c>
      <c r="H26" s="18" t="n">
        <v>-26.57</v>
      </c>
      <c r="I26" s="18" t="n">
        <v>-27.33</v>
      </c>
      <c r="J26" s="18" t="n">
        <v>-28.08</v>
      </c>
    </row>
  </sheetData>
  <conditionalFormatting sqref="B4:J12">
    <cfRule type="colorScale" priority="1">
      <colorScale>
        <cfvo type="min"/>
        <cfvo type="num" val="0"/>
        <cfvo type="max"/>
        <color rgb="00C0392B"/>
        <color rgb="00FFFFFF"/>
        <color rgb="001D7A4A"/>
      </colorScale>
    </cfRule>
  </conditionalFormatting>
  <conditionalFormatting sqref="B16:J26">
    <cfRule type="colorScale" priority="2">
      <colorScale>
        <cfvo type="min"/>
        <cfvo type="num" val="0"/>
        <cfvo type="max"/>
        <color rgb="00C0392B"/>
        <color rgb="00FFFFFF"/>
        <color rgb="001D7A4A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14" customWidth="1" min="4" max="4"/>
    <col width="12" customWidth="1" min="5" max="5"/>
    <col width="12" customWidth="1" min="6" max="6"/>
    <col width="12" customWidth="1" min="7" max="7"/>
    <col width="11" customWidth="1" min="8" max="8"/>
    <col width="30" customWidth="1" min="9" max="9"/>
    <col width="45" customWidth="1" min="10" max="10"/>
  </cols>
  <sheetData>
    <row r="1">
      <c r="A1" s="1" t="inlineStr">
        <is>
          <t>announce_date</t>
        </is>
      </c>
      <c r="B1" s="1" t="inlineStr">
        <is>
          <t>acquirer</t>
        </is>
      </c>
      <c r="C1" s="1" t="inlineStr">
        <is>
          <t>target</t>
        </is>
      </c>
      <c r="D1" s="1" t="inlineStr">
        <is>
          <t>deal_value_cr</t>
        </is>
      </c>
      <c r="E1" s="1" t="inlineStr">
        <is>
          <t>consideration_type</t>
        </is>
      </c>
      <c r="F1" s="1" t="inlineStr">
        <is>
          <t>offer_premium_pct</t>
        </is>
      </c>
      <c r="G1" s="1" t="inlineStr">
        <is>
          <t>ev_ebitda_multiple</t>
        </is>
      </c>
      <c r="H1" s="1" t="inlineStr">
        <is>
          <t>status</t>
        </is>
      </c>
      <c r="I1" s="1" t="inlineStr">
        <is>
          <t>notes</t>
        </is>
      </c>
      <c r="J1" s="1" t="inlineStr">
        <is>
          <t>source_url</t>
        </is>
      </c>
    </row>
    <row r="2">
      <c r="A2" t="inlineStr">
        <is>
          <t>2024-10-22</t>
        </is>
      </c>
      <c r="B2" t="inlineStr">
        <is>
          <t>Ambuja Cements</t>
        </is>
      </c>
      <c r="C2" t="inlineStr">
        <is>
          <t>Orient Cement</t>
        </is>
      </c>
      <c r="D2" t="n">
        <v>8100</v>
      </c>
      <c r="E2" t="inlineStr">
        <is>
          <t>cash</t>
        </is>
      </c>
      <c r="F2" t="n">
        <v>12.27</v>
      </c>
      <c r="G2" t="n">
        <v/>
      </c>
      <c r="H2" t="inlineStr">
        <is>
          <t>completed</t>
        </is>
      </c>
      <c r="I2" t="inlineStr">
        <is>
          <t>VERIFIED — Ambuja to acquire 46.8% of Orient Cement (37.9% promoters + 8.9% public) at equity value Rs 8100 cr; open offer 26% at Rs 395.40/sh = 12.27% premium to Rs 352.2 prev close; announced 22 Oct 2024; EV/EBITDA unverified</t>
        </is>
      </c>
      <c r="J2" t="inlineStr">
        <is>
          <t>https://www.business-standard.com/markets/capital-market-news/ambuja-cements-to-46-8-stake-in-orient-cement-announces-open-offer-at-rs-395-40-share-124102200252_1.html</t>
        </is>
      </c>
    </row>
    <row r="3">
      <c r="A3" t="inlineStr">
        <is>
          <t>2024-06-13</t>
        </is>
      </c>
      <c r="B3" t="inlineStr">
        <is>
          <t>Adani Group (Ambuja)</t>
        </is>
      </c>
      <c r="C3" t="inlineStr">
        <is>
          <t>Penna Cement</t>
        </is>
      </c>
      <c r="D3" t="n">
        <v>10422</v>
      </c>
      <c r="E3" t="inlineStr">
        <is>
          <t>cash</t>
        </is>
      </c>
      <c r="F3" t="n">
        <v/>
      </c>
      <c r="G3" t="n">
        <v>14</v>
      </c>
      <c r="H3" t="inlineStr">
        <is>
          <t>completed</t>
        </is>
      </c>
      <c r="I3" t="inlineStr">
        <is>
          <t>ILLUSTRATIVE — verify; unlisted south-India capacity buy</t>
        </is>
      </c>
      <c r="J3" t="inlineStr">
        <is>
          <t>https://www.bseindia.com/corporates/ann.html</t>
        </is>
      </c>
    </row>
    <row r="4">
      <c r="A4" t="inlineStr">
        <is>
          <t>2023-11-30</t>
        </is>
      </c>
      <c r="B4" t="inlineStr">
        <is>
          <t>UltraTech Cement</t>
        </is>
      </c>
      <c r="C4" t="inlineStr">
        <is>
          <t>Kesoram Industries (cement business)</t>
        </is>
      </c>
      <c r="D4" t="n">
        <v>5379</v>
      </c>
      <c r="E4" t="inlineStr">
        <is>
          <t>stock</t>
        </is>
      </c>
      <c r="F4" t="n">
        <v>24.1</v>
      </c>
      <c r="G4" t="n">
        <v/>
      </c>
      <c r="H4" t="inlineStr">
        <is>
          <t>completed</t>
        </is>
      </c>
      <c r="I4" t="inlineStr">
        <is>
          <t>VERIFIED — demerger of Kesoram cement (10.75 mtpa; Sedam + Basantnagar) into UltraTech; share swap 1 UltraTech per 52 Kesoram; implied offer Rs 173.15 = 24.1% premium to Rs 139.45 prev close; deal ~Rs 5379 cr; appointed date 1 Apr 2024; scheme effective 1 Mar 2025; EV/EBITDA unverified</t>
        </is>
      </c>
      <c r="J4" t="inlineStr">
        <is>
          <t>https://www.businesstoday.in/latest/corporate/story/ultratech-cement-to-buy-kesorams-cement-business-in-rs-5379-cr-deal-announces-swap-ratio-of-152-407773-2023-11-30</t>
        </is>
      </c>
    </row>
    <row r="5">
      <c r="A5" t="inlineStr">
        <is>
          <t>2023-08-03</t>
        </is>
      </c>
      <c r="B5" t="inlineStr">
        <is>
          <t>Ambuja Cements</t>
        </is>
      </c>
      <c r="C5" t="inlineStr">
        <is>
          <t>Sanghi Industries</t>
        </is>
      </c>
      <c r="D5" t="n">
        <v>5000</v>
      </c>
      <c r="E5" t="inlineStr">
        <is>
          <t>cash</t>
        </is>
      </c>
      <c r="F5" t="n">
        <v/>
      </c>
      <c r="G5" t="n">
        <v/>
      </c>
      <c r="H5" t="inlineStr">
        <is>
          <t>completed</t>
        </is>
      </c>
      <c r="I5" t="inlineStr">
        <is>
          <t>ILLUSTRATIVE — verify; distressed cement consolidation; open offer</t>
        </is>
      </c>
      <c r="J5" t="inlineStr">
        <is>
          <t>https://www.sebi.gov.in/filings/takeovers.html</t>
        </is>
      </c>
    </row>
    <row r="6">
      <c r="A6" t="inlineStr">
        <is>
          <t>2022-12-12</t>
        </is>
      </c>
      <c r="B6" t="inlineStr">
        <is>
          <t>Dalmia Bharat</t>
        </is>
      </c>
      <c r="C6" t="inlineStr">
        <is>
          <t>Jaiprakash Associates (cement assets)</t>
        </is>
      </c>
      <c r="D6" t="n">
        <v>5666</v>
      </c>
      <c r="E6" t="inlineStr">
        <is>
          <t>cash</t>
        </is>
      </c>
      <c r="F6" t="n">
        <v/>
      </c>
      <c r="G6" t="n">
        <v/>
      </c>
      <c r="H6" t="inlineStr">
        <is>
          <t>withdrawn</t>
        </is>
      </c>
      <c r="I6" t="inlineStr">
        <is>
          <t>VERIFIED — Dec 2022 binding framework (EV Rs 5666 cr; 9.4 mtpa) fell through after JAL admitted to insolvency and JAL-UltraTech arbitration; superseded by fresh BTA 21 May 2026 with JAL (acquired by Adani under IBC) + Adani Infra at EV Rs 2850 cr for 5.2 mtpa Central region (Rewa/Churk/Chunar/Sadwa); EV/EBITDA unverified</t>
        </is>
      </c>
      <c r="J6" t="inlineStr">
        <is>
          <t>https://www.businessupturn.com/business/dalmia-bharat-acquires-5-2-mntpa-cement-capacity-from-jal-for-rs-2850-crore</t>
        </is>
      </c>
    </row>
    <row r="7">
      <c r="A7" t="inlineStr">
        <is>
          <t>2022-05-15</t>
        </is>
      </c>
      <c r="B7" t="inlineStr">
        <is>
          <t>Adani Group (Endeavour Trade)</t>
        </is>
      </c>
      <c r="C7" t="inlineStr">
        <is>
          <t>Ambuja Cements</t>
        </is>
      </c>
      <c r="D7" t="n">
        <v>51000</v>
      </c>
      <c r="E7" t="inlineStr">
        <is>
          <t>cash</t>
        </is>
      </c>
      <c r="F7" t="n">
        <v>7</v>
      </c>
      <c r="G7" t="n">
        <v/>
      </c>
      <c r="H7" t="inlineStr">
        <is>
          <t>completed</t>
        </is>
      </c>
      <c r="I7" t="inlineStr">
        <is>
          <t>VERIFIED — Holcim India exit; Adani bought 63.19% Ambuja ~Rs 385/sh; open offer 26% at Rs 385 (~7% premium; ~Rs 19880 cr); part of USD 10.5 bn Ambuja+ACC deal; EV/EBITDA unverified</t>
        </is>
      </c>
      <c r="J7" t="inlineStr">
        <is>
          <t>https://www.adani.com/newsroom/media-releases/adani-to-acquire-holcims-stake-in-ambuja-cements-and-acc-limited</t>
        </is>
      </c>
    </row>
    <row r="8">
      <c r="A8" t="inlineStr">
        <is>
          <t>2022-05-15</t>
        </is>
      </c>
      <c r="B8" t="inlineStr">
        <is>
          <t>Adani Group (Endeavour Trade)</t>
        </is>
      </c>
      <c r="C8" t="inlineStr">
        <is>
          <t>ACC</t>
        </is>
      </c>
      <c r="D8" t="n">
        <v/>
      </c>
      <c r="E8" t="inlineStr">
        <is>
          <t>cash</t>
        </is>
      </c>
      <c r="F8" t="n">
        <v>7</v>
      </c>
      <c r="G8" t="n">
        <v/>
      </c>
      <c r="H8" t="inlineStr">
        <is>
          <t>completed</t>
        </is>
      </c>
      <c r="I8" t="inlineStr">
        <is>
          <t>VERIFIED — acquired via Ambuja/Holcim (Holcim held 54.53% incl 50.05% via Ambuja); open offer 26% at Rs 2300 (~7% premium; ~Rs 11260 cr); part of USD 10.5 bn deal; EV/EBITDA unverified</t>
        </is>
      </c>
      <c r="J8" t="inlineStr">
        <is>
          <t>https://www.adani.com/newsroom/media-releases/adani-to-acquire-holcims-stake-in-ambuja-cements-and-acc-limited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2026-07-05T03:32:55Z</dcterms:created>
  <dcterms:modified xmlns:dcterms="http://purl.org/dc/terms/" xmlns:xsi="http://www.w3.org/2001/XMLSchema-instance" xsi:type="dcterms:W3CDTF">2026-07-05T03:32:55Z</dcterms:modified>
</cp:coreProperties>
</file>